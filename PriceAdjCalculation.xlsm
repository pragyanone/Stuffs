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epos\Stuffs\"/>
    </mc:Choice>
  </mc:AlternateContent>
  <xr:revisionPtr revIDLastSave="0" documentId="13_ncr:1_{45F4A649-73F6-4E1F-95DC-4B439F08A7C4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BS" sheetId="1" r:id="rId1"/>
    <sheet name="AD" sheetId="3" r:id="rId2"/>
    <sheet name="Indices" sheetId="2" r:id="rId3"/>
  </sheets>
  <functionGroups builtInGroupCount="19"/>
  <definedNames>
    <definedName name="a" localSheetId="1">AD!$A$12</definedName>
    <definedName name="a">BS!$A$12</definedName>
    <definedName name="b" localSheetId="1">AD!$B$12</definedName>
    <definedName name="b">BS!$B$12</definedName>
    <definedName name="c_" localSheetId="1">AD!$C$12</definedName>
    <definedName name="c_">BS!$C$12</definedName>
    <definedName name="d" localSheetId="1">AD!$D$12</definedName>
    <definedName name="d">BS!$D$12</definedName>
    <definedName name="lo" localSheetId="1">AD!$B$8</definedName>
    <definedName name="lo">BS!$B$8</definedName>
    <definedName name="mo" localSheetId="1">AD!$C$8</definedName>
    <definedName name="mo">BS!$C$8</definedName>
    <definedName name="no" localSheetId="1">AD!$D$8</definedName>
    <definedName name="no">BS!$D$8</definedName>
    <definedName name="_xlnm.Print_Area" localSheetId="1">AD!$A$1:$I$21</definedName>
    <definedName name="_xlnm.Print_Area" localSheetId="0">BS!$A$1:$I$21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" i="1" l="1"/>
  <c r="D15" i="3"/>
  <c r="D16" i="1"/>
  <c r="D16" i="3"/>
  <c r="C17" i="3"/>
  <c r="E12" i="3"/>
  <c r="C17" i="1"/>
  <c r="E12" i="1"/>
  <c r="C8" i="3"/>
  <c r="D8" i="3"/>
  <c r="G15" i="3"/>
  <c r="B8" i="3"/>
  <c r="E15" i="3"/>
  <c r="F16" i="3"/>
  <c r="F15" i="3"/>
  <c r="E16" i="3"/>
  <c r="G16" i="3"/>
  <c r="E15" i="1"/>
  <c r="G16" i="1"/>
  <c r="C8" i="1"/>
  <c r="F15" i="1"/>
  <c r="D8" i="1"/>
  <c r="E16" i="1"/>
  <c r="G15" i="1"/>
  <c r="B8" i="1"/>
  <c r="F16" i="1"/>
  <c r="H15" i="3" l="1"/>
  <c r="I15" i="3" s="1"/>
  <c r="H16" i="3"/>
  <c r="I16" i="3" s="1"/>
  <c r="H16" i="1"/>
  <c r="I16" i="1" s="1"/>
  <c r="H15" i="1"/>
  <c r="I15" i="1" s="1"/>
  <c r="D17" i="3"/>
  <c r="D17" i="1"/>
  <c r="I17" i="3" l="1"/>
  <c r="I17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Pragyan</author>
  </authors>
  <commentList>
    <comment ref="A8" authorId="0" shapeId="0" xr:uid="{00000000-0006-0000-0000-000002000000}">
      <text>
        <r>
          <rPr>
            <sz val="9"/>
            <color indexed="81"/>
            <rFont val="Tahoma"/>
            <family val="2"/>
          </rPr>
          <t>Bid Submission Date</t>
        </r>
      </text>
    </comment>
    <comment ref="D12" authorId="0" shapeId="0" xr:uid="{00000000-0006-0000-0000-000003000000}">
      <text>
        <r>
          <rPr>
            <sz val="11"/>
            <color indexed="81"/>
            <rFont val="Tahoma"/>
            <family val="2"/>
          </rPr>
          <t>Coefficients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Pragyan</author>
  </authors>
  <commentList>
    <comment ref="A8" authorId="0" shapeId="0" xr:uid="{D48414D0-99CC-46AD-8BCF-79B9F67648E0}">
      <text>
        <r>
          <rPr>
            <sz val="10"/>
            <color indexed="81"/>
            <rFont val="Tahoma"/>
            <family val="2"/>
          </rPr>
          <t>Bid Submission Date</t>
        </r>
      </text>
    </comment>
    <comment ref="D12" authorId="0" shapeId="0" xr:uid="{CAF7464B-5475-4145-9B12-0F7429C8B6DE}">
      <text>
        <r>
          <rPr>
            <sz val="11"/>
            <color indexed="81"/>
            <rFont val="Tahoma"/>
            <family val="2"/>
          </rPr>
          <t>Coefficients</t>
        </r>
      </text>
    </comment>
  </commentList>
</comments>
</file>

<file path=xl/sharedStrings.xml><?xml version="1.0" encoding="utf-8"?>
<sst xmlns="http://schemas.openxmlformats.org/spreadsheetml/2006/main" count="188" uniqueCount="78">
  <si>
    <t>SN</t>
  </si>
  <si>
    <t>Date</t>
  </si>
  <si>
    <t>Labour</t>
  </si>
  <si>
    <t>Material</t>
  </si>
  <si>
    <t>Equipment</t>
  </si>
  <si>
    <t>1999/00</t>
  </si>
  <si>
    <t>2012/13</t>
  </si>
  <si>
    <t>2013/14</t>
  </si>
  <si>
    <t>2014/15</t>
  </si>
  <si>
    <t>2015/16</t>
  </si>
  <si>
    <t>2016/17</t>
  </si>
  <si>
    <t>I Qtr</t>
  </si>
  <si>
    <t>Jul/Aug</t>
  </si>
  <si>
    <t>Aug/Sep</t>
  </si>
  <si>
    <t>Sep/Oct</t>
  </si>
  <si>
    <t>II Qtr</t>
  </si>
  <si>
    <t>Oct/Nov</t>
  </si>
  <si>
    <t>Nov/Dec</t>
  </si>
  <si>
    <t>Dec/Jan</t>
  </si>
  <si>
    <t>III Qtr</t>
  </si>
  <si>
    <t>Jan/Feb</t>
  </si>
  <si>
    <t>Feb/Mar</t>
  </si>
  <si>
    <t>Mar/Apr</t>
  </si>
  <si>
    <t>IV Qtr</t>
  </si>
  <si>
    <t>Apr/May</t>
  </si>
  <si>
    <t>May/Jun</t>
  </si>
  <si>
    <t>Jun/Jul</t>
  </si>
  <si>
    <t>2017/18</t>
  </si>
  <si>
    <t>2018/19</t>
  </si>
  <si>
    <t>2019/20</t>
  </si>
  <si>
    <t>2020/21</t>
  </si>
  <si>
    <t>2000/01</t>
  </si>
  <si>
    <t>2001/02</t>
  </si>
  <si>
    <t>2002/03</t>
  </si>
  <si>
    <t>2003/04</t>
  </si>
  <si>
    <t>2004/05</t>
  </si>
  <si>
    <t>2005/06</t>
  </si>
  <si>
    <t>2006/07</t>
  </si>
  <si>
    <t>2007/08</t>
  </si>
  <si>
    <t>2008/09</t>
  </si>
  <si>
    <t>2009/10</t>
  </si>
  <si>
    <t>2010/11</t>
  </si>
  <si>
    <t>2011/12</t>
  </si>
  <si>
    <t>Contract Name:</t>
  </si>
  <si>
    <t>Contract ID No.:</t>
  </si>
  <si>
    <r>
      <t>l</t>
    </r>
    <r>
      <rPr>
        <vertAlign val="subscript"/>
        <sz val="11"/>
        <color theme="1"/>
        <rFont val="Calibri"/>
        <family val="2"/>
        <scheme val="minor"/>
      </rPr>
      <t>o</t>
    </r>
  </si>
  <si>
    <t>l</t>
  </si>
  <si>
    <t>m</t>
  </si>
  <si>
    <t>n</t>
  </si>
  <si>
    <r>
      <t>m</t>
    </r>
    <r>
      <rPr>
        <vertAlign val="subscript"/>
        <sz val="11"/>
        <color theme="1"/>
        <rFont val="Calibri"/>
        <family val="2"/>
        <scheme val="minor"/>
      </rPr>
      <t>o</t>
    </r>
  </si>
  <si>
    <r>
      <t>n</t>
    </r>
    <r>
      <rPr>
        <vertAlign val="subscript"/>
        <sz val="11"/>
        <color theme="1"/>
        <rFont val="Calibri"/>
        <family val="2"/>
        <scheme val="minor"/>
      </rPr>
      <t>o</t>
    </r>
  </si>
  <si>
    <t>Price Adj.
factor</t>
  </si>
  <si>
    <t>Price Adjustment Coefficients</t>
  </si>
  <si>
    <t>TOTAL</t>
  </si>
  <si>
    <t>Source for indices:</t>
  </si>
  <si>
    <t>PRICE ADJUSTMENT CALCULATION</t>
  </si>
  <si>
    <t>Net Price Adj.
Amount</t>
  </si>
  <si>
    <t>1. NRB: National Salary and Wage Rate Index</t>
  </si>
  <si>
    <t>2. NRB: National Wholesale Price Index</t>
  </si>
  <si>
    <t>2076-10-29</t>
  </si>
  <si>
    <t>2077-9-22</t>
  </si>
  <si>
    <t>Bid Submission Date</t>
  </si>
  <si>
    <t>2021/22</t>
  </si>
  <si>
    <t>IPC Submisstion
Date</t>
  </si>
  <si>
    <t>IPC No.</t>
  </si>
  <si>
    <r>
      <rPr>
        <b/>
        <sz val="11"/>
        <color theme="1"/>
        <rFont val="Calibri"/>
        <family val="2"/>
        <scheme val="minor"/>
      </rPr>
      <t xml:space="preserve">Indices
</t>
    </r>
    <r>
      <rPr>
        <sz val="9"/>
        <color theme="1"/>
        <rFont val="Calibri"/>
        <family val="2"/>
        <scheme val="minor"/>
      </rPr>
      <t>(for 30 days prior to IPC Submission Date)</t>
    </r>
  </si>
  <si>
    <t>2020-12-27</t>
  </si>
  <si>
    <t>2021-04-22</t>
  </si>
  <si>
    <t>Non-Adjustable
(a)</t>
  </si>
  <si>
    <t>Labour
(b)</t>
  </si>
  <si>
    <t>Material
(c)</t>
  </si>
  <si>
    <t>Equipment
(d)</t>
  </si>
  <si>
    <t>2020-03-13</t>
  </si>
  <si>
    <r>
      <t xml:space="preserve">Visit </t>
    </r>
    <r>
      <rPr>
        <b/>
        <sz val="22"/>
        <color theme="4"/>
        <rFont val="Calibri"/>
        <family val="2"/>
        <scheme val="minor"/>
      </rPr>
      <t>shresthaPragyan.com.np</t>
    </r>
    <r>
      <rPr>
        <sz val="22"/>
        <color theme="4"/>
        <rFont val="Calibri"/>
        <family val="2"/>
        <scheme val="minor"/>
      </rPr>
      <t xml:space="preserve"> for update!</t>
    </r>
  </si>
  <si>
    <t>IPC Amount</t>
  </si>
  <si>
    <t>IPC Amount
for Price Adj.</t>
  </si>
  <si>
    <r>
      <rPr>
        <b/>
        <sz val="11"/>
        <color theme="1"/>
        <rFont val="Calibri"/>
        <family val="2"/>
        <scheme val="minor"/>
      </rPr>
      <t>Base Indices</t>
    </r>
    <r>
      <rPr>
        <sz val="11"/>
        <color theme="1"/>
        <rFont val="Calibri"/>
        <family val="2"/>
        <scheme val="minor"/>
      </rPr>
      <t xml:space="preserve"> </t>
    </r>
    <r>
      <rPr>
        <sz val="10"/>
        <color theme="1"/>
        <rFont val="Calibri"/>
        <family val="2"/>
        <scheme val="minor"/>
      </rPr>
      <t>(for 30 days prior to Bid Submission Date)</t>
    </r>
  </si>
  <si>
    <t>2077-09-23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</si>
</sst>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₹&quot;\ #,##0.00;[Red]&quot;₹&quot;\ \-#,##0.00"/>
    <numFmt numFmtId="41" formatCode="_ * #,##0_ ;_ * \-#,##0_ ;_ * &quot;-&quot;_ ;_ @_ "/>
    <numFmt numFmtId="43" formatCode="_ * #,##0.00_ ;_ * \-#,##0.00_ ;_ * &quot;-&quot;??_ ;_ @_ "/>
  </numFmts>
  <fonts count="24">
    <font>
      <sz val="11"/>
      <color theme="1"/>
      <name val="Calibri"/>
      <family val="2"/>
      <scheme val="minor"/>
    </font>
    <font>
      <sz val="8"/>
      <name val="Times New Roman"/>
      <family val="1"/>
    </font>
    <font>
      <sz val="10"/>
      <name val="Geneva"/>
    </font>
    <font>
      <sz val="10"/>
      <name val="Arial"/>
      <family val="2"/>
    </font>
    <font>
      <sz val="10"/>
      <name val="Courier"/>
      <family val="3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sz val="11"/>
      <color indexed="81"/>
      <name val="Tahoma"/>
      <family val="2"/>
    </font>
    <font>
      <u/>
      <sz val="22"/>
      <color theme="1"/>
      <name val="Calibri"/>
      <family val="2"/>
      <scheme val="minor"/>
    </font>
    <font>
      <i/>
      <sz val="11"/>
      <color theme="2" tint="-0.249977111117893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Arial"/>
      <family val="2"/>
    </font>
    <font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2"/>
      <color theme="4"/>
      <name val="Calibri"/>
      <family val="2"/>
      <scheme val="minor"/>
    </font>
    <font>
      <sz val="22"/>
      <color theme="4"/>
      <name val="Calibri"/>
      <family val="2"/>
      <scheme val="minor"/>
    </font>
    <font>
      <sz val="10"/>
      <color indexed="81"/>
      <name val="Tahoma"/>
      <family val="2"/>
    </font>
    <font>
      <sz val="9"/>
      <color indexed="81"/>
      <name val="Tahoma"/>
      <family val="2"/>
    </font>
    <font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</borders>
  <cellStyleXfs count="68">
    <xf numFmtId="0" fontId="0" fillId="0" borderId="0"/>
    <xf numFmtId="0" fontId="1" fillId="0" borderId="0">
      <alignment vertical="center"/>
    </xf>
    <xf numFmtId="40" fontId="2" fillId="0" borderId="0" applyFont="0" applyFill="0" applyBorder="0" applyAlignment="0" applyProtection="0"/>
    <xf numFmtId="41" fontId="3" fillId="0" borderId="0" applyFont="0" applyFill="0" applyBorder="0" applyAlignment="0" applyProtection="0"/>
    <xf numFmtId="8" fontId="2" fillId="0" borderId="0" applyFont="0" applyFill="0" applyBorder="0" applyAlignment="0" applyProtection="0"/>
    <xf numFmtId="0" fontId="1" fillId="0" borderId="0">
      <alignment vertical="center"/>
    </xf>
    <xf numFmtId="0" fontId="3" fillId="0" borderId="0"/>
    <xf numFmtId="0" fontId="4" fillId="0" borderId="0"/>
    <xf numFmtId="0" fontId="3" fillId="0" borderId="0"/>
    <xf numFmtId="0" fontId="3" fillId="0" borderId="0"/>
    <xf numFmtId="9" fontId="2" fillId="0" borderId="0" applyFont="0" applyFill="0" applyBorder="0" applyAlignment="0" applyProtection="0"/>
    <xf numFmtId="0" fontId="1" fillId="0" borderId="0">
      <alignment vertical="center"/>
    </xf>
    <xf numFmtId="43" fontId="6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6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 applyAlignment="0"/>
    <xf numFmtId="0" fontId="6" fillId="0" borderId="0"/>
    <xf numFmtId="0" fontId="15" fillId="0" borderId="0"/>
    <xf numFmtId="0" fontId="3" fillId="0" borderId="0"/>
    <xf numFmtId="0" fontId="6" fillId="0" borderId="0"/>
    <xf numFmtId="0" fontId="16" fillId="0" borderId="0"/>
    <xf numFmtId="0" fontId="3" fillId="0" borderId="0"/>
    <xf numFmtId="0" fontId="6" fillId="0" borderId="0"/>
    <xf numFmtId="43" fontId="6" fillId="0" borderId="0" applyFont="0" applyFill="0" applyBorder="0" applyAlignment="0" applyProtection="0"/>
    <xf numFmtId="0" fontId="3" fillId="0" borderId="0"/>
    <xf numFmtId="0" fontId="6" fillId="0" borderId="0"/>
    <xf numFmtId="0" fontId="3" fillId="0" borderId="0"/>
    <xf numFmtId="43" fontId="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3" fillId="0" borderId="0"/>
    <xf numFmtId="0" fontId="6" fillId="0" borderId="0"/>
    <xf numFmtId="0" fontId="3" fillId="0" borderId="0"/>
    <xf numFmtId="0" fontId="16" fillId="0" borderId="0"/>
    <xf numFmtId="0" fontId="16" fillId="0" borderId="0"/>
    <xf numFmtId="9" fontId="1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43" fontId="3" fillId="0" borderId="0" applyFont="0" applyFill="0" applyBorder="0" applyAlignment="0" applyProtection="0"/>
    <xf numFmtId="0" fontId="16" fillId="0" borderId="0"/>
    <xf numFmtId="0" fontId="3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0" fontId="3" fillId="0" borderId="0"/>
    <xf numFmtId="0" fontId="18" fillId="0" borderId="0" applyNumberFormat="0" applyFill="0" applyBorder="0" applyAlignment="0" applyProtection="0"/>
  </cellStyleXfs>
  <cellXfs count="49">
    <xf numFmtId="0" fontId="0" fillId="0" borderId="0" xfId="0"/>
    <xf numFmtId="14" fontId="0" fillId="0" borderId="0" xfId="0" applyNumberFormat="1"/>
    <xf numFmtId="0" fontId="0" fillId="0" borderId="0" xfId="0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0" fillId="0" borderId="3" xfId="0" applyFont="1" applyBorder="1" applyAlignment="1">
      <alignment horizontal="center" vertical="center"/>
    </xf>
    <xf numFmtId="0" fontId="0" fillId="0" borderId="3" xfId="0" applyFont="1" applyBorder="1" applyAlignment="1">
      <alignment horizontal="center" vertical="center" wrapText="1"/>
    </xf>
    <xf numFmtId="0" fontId="0" fillId="0" borderId="0" xfId="0" applyFont="1"/>
    <xf numFmtId="43" fontId="0" fillId="0" borderId="1" xfId="12" applyFont="1" applyBorder="1"/>
    <xf numFmtId="0" fontId="8" fillId="0" borderId="0" xfId="0" applyFont="1" applyAlignment="1">
      <alignment horizontal="center" vertical="top"/>
    </xf>
    <xf numFmtId="0" fontId="0" fillId="0" borderId="0" xfId="0" applyFont="1" applyAlignment="1"/>
    <xf numFmtId="0" fontId="0" fillId="0" borderId="1" xfId="0" applyFont="1" applyBorder="1" applyAlignment="1">
      <alignment horizontal="center" vertical="center"/>
    </xf>
    <xf numFmtId="2" fontId="0" fillId="0" borderId="1" xfId="0" applyNumberFormat="1" applyFont="1" applyBorder="1" applyAlignment="1">
      <alignment horizontal="center"/>
    </xf>
    <xf numFmtId="0" fontId="0" fillId="0" borderId="0" xfId="0" applyFont="1" applyBorder="1"/>
    <xf numFmtId="0" fontId="0" fillId="0" borderId="1" xfId="0" applyFont="1" applyFill="1" applyBorder="1" applyAlignment="1">
      <alignment horizontal="center" vertical="center"/>
    </xf>
    <xf numFmtId="4" fontId="0" fillId="0" borderId="1" xfId="12" applyNumberFormat="1" applyFont="1" applyBorder="1"/>
    <xf numFmtId="2" fontId="0" fillId="0" borderId="1" xfId="0" applyNumberFormat="1" applyFont="1" applyBorder="1"/>
    <xf numFmtId="14" fontId="0" fillId="0" borderId="0" xfId="0" applyNumberFormat="1" applyFont="1"/>
    <xf numFmtId="2" fontId="0" fillId="0" borderId="0" xfId="0" applyNumberFormat="1"/>
    <xf numFmtId="1" fontId="0" fillId="0" borderId="0" xfId="0" applyNumberFormat="1"/>
    <xf numFmtId="0" fontId="13" fillId="0" borderId="0" xfId="0" applyFont="1"/>
    <xf numFmtId="49" fontId="0" fillId="0" borderId="1" xfId="0" applyNumberFormat="1" applyFont="1" applyBorder="1" applyAlignment="1">
      <alignment horizontal="right"/>
    </xf>
    <xf numFmtId="49" fontId="0" fillId="0" borderId="1" xfId="0" applyNumberFormat="1" applyFont="1" applyBorder="1" applyAlignment="1">
      <alignment horizontal="center"/>
    </xf>
    <xf numFmtId="0" fontId="0" fillId="0" borderId="1" xfId="0" applyFont="1" applyBorder="1" applyAlignment="1">
      <alignment horizontal="center" vertical="center" wrapText="1"/>
    </xf>
    <xf numFmtId="4" fontId="0" fillId="0" borderId="0" xfId="0" applyNumberFormat="1" applyAlignment="1">
      <alignment vertical="center" wrapText="1"/>
    </xf>
    <xf numFmtId="0" fontId="0" fillId="0" borderId="1" xfId="0" applyFont="1" applyBorder="1" applyAlignment="1">
      <alignment horizontal="center" vertical="center"/>
    </xf>
    <xf numFmtId="0" fontId="0" fillId="0" borderId="0" xfId="12" applyNumberFormat="1" applyFont="1" applyAlignment="1">
      <alignment vertical="center" wrapText="1"/>
    </xf>
    <xf numFmtId="0" fontId="0" fillId="0" borderId="0" xfId="0" applyNumberFormat="1" applyAlignment="1">
      <alignment vertical="center" wrapText="1"/>
    </xf>
    <xf numFmtId="0" fontId="0" fillId="0" borderId="1" xfId="0" applyFont="1" applyBorder="1" applyAlignment="1">
      <alignment horizontal="center"/>
    </xf>
    <xf numFmtId="43" fontId="7" fillId="0" borderId="4" xfId="0" applyNumberFormat="1" applyFont="1" applyBorder="1"/>
    <xf numFmtId="43" fontId="7" fillId="0" borderId="4" xfId="0" applyNumberFormat="1" applyFont="1" applyBorder="1" applyAlignment="1">
      <alignment horizontal="right"/>
    </xf>
    <xf numFmtId="43" fontId="7" fillId="0" borderId="5" xfId="0" applyNumberFormat="1" applyFont="1" applyBorder="1"/>
    <xf numFmtId="0" fontId="0" fillId="0" borderId="1" xfId="0" applyFont="1" applyBorder="1" applyAlignment="1">
      <alignment horizontal="center"/>
    </xf>
    <xf numFmtId="0" fontId="0" fillId="0" borderId="1" xfId="0" applyFont="1" applyBorder="1" applyAlignment="1">
      <alignment horizontal="center" vertical="center" wrapText="1"/>
    </xf>
    <xf numFmtId="0" fontId="0" fillId="0" borderId="1" xfId="0" applyFont="1" applyBorder="1" applyAlignment="1">
      <alignment horizontal="center" vertical="center" wrapText="1"/>
    </xf>
    <xf numFmtId="0" fontId="0" fillId="0" borderId="0" xfId="0" applyFont="1" applyAlignment="1">
      <alignment vertical="top"/>
    </xf>
    <xf numFmtId="43" fontId="7" fillId="0" borderId="0" xfId="0" applyNumberFormat="1" applyFont="1" applyBorder="1"/>
    <xf numFmtId="43" fontId="7" fillId="0" borderId="0" xfId="0" applyNumberFormat="1" applyFont="1" applyBorder="1" applyAlignment="1">
      <alignment horizontal="right"/>
    </xf>
    <xf numFmtId="0" fontId="18" fillId="0" borderId="0" xfId="67"/>
    <xf numFmtId="0" fontId="20" fillId="0" borderId="0" xfId="0" applyFont="1" applyAlignment="1">
      <alignment horizontal="left"/>
    </xf>
    <xf numFmtId="0" fontId="12" fillId="0" borderId="0" xfId="0" applyFont="1" applyAlignment="1">
      <alignment horizontal="center" vertical="top"/>
    </xf>
    <xf numFmtId="0" fontId="10" fillId="0" borderId="0" xfId="0" applyFont="1" applyAlignment="1">
      <alignment horizontal="left"/>
    </xf>
    <xf numFmtId="0" fontId="14" fillId="0" borderId="0" xfId="0" applyFont="1" applyBorder="1" applyAlignment="1">
      <alignment horizontal="left"/>
    </xf>
    <xf numFmtId="0" fontId="0" fillId="0" borderId="1" xfId="0" applyFont="1" applyBorder="1" applyAlignment="1">
      <alignment horizontal="center"/>
    </xf>
    <xf numFmtId="0" fontId="0" fillId="0" borderId="1" xfId="0" applyFont="1" applyBorder="1" applyAlignment="1">
      <alignment horizontal="center" vertical="center" wrapText="1"/>
    </xf>
    <xf numFmtId="0" fontId="7" fillId="0" borderId="0" xfId="0" applyFont="1" applyFill="1" applyAlignment="1">
      <alignment horizontal="left" vertical="top" wrapText="1"/>
    </xf>
    <xf numFmtId="0" fontId="0" fillId="0" borderId="0" xfId="0" applyFont="1" applyAlignment="1">
      <alignment horizontal="left" vertical="top"/>
    </xf>
    <xf numFmtId="0" fontId="0" fillId="0" borderId="0" xfId="0" applyFont="1" applyAlignment="1">
      <alignment horizontal="center" wrapText="1"/>
    </xf>
    <xf numFmtId="0" fontId="0" fillId="0" borderId="0" xfId="0" applyFont="1" applyAlignment="1">
      <alignment horizontal="center"/>
    </xf>
    <xf numFmtId="0" fontId="14" fillId="0" borderId="0" xfId="0" applyFont="1" applyAlignment="1">
      <alignment horizontal="left"/>
    </xf>
  </cellXfs>
  <cellStyles count="68">
    <cellStyle name="Comma" xfId="12" builtinId="3"/>
    <cellStyle name="Comma 10" xfId="17" xr:uid="{1AB77A90-F38A-4B15-8267-94DD830A66DC}"/>
    <cellStyle name="Comma 11" xfId="49" xr:uid="{0DEACC35-8E51-402D-8966-1C2FD39A007C}"/>
    <cellStyle name="Comma 2" xfId="2" xr:uid="{00000000-0005-0000-0000-000001000000}"/>
    <cellStyle name="Comma 2 2" xfId="3" xr:uid="{00000000-0005-0000-0000-000002000000}"/>
    <cellStyle name="Comma 2 29" xfId="43" xr:uid="{E1117F5F-C5F7-4087-9756-5F073F6CBD45}"/>
    <cellStyle name="Comma 2 3" xfId="65" xr:uid="{EB85FFE8-3CA6-42FF-8BD8-F14558335C3E}"/>
    <cellStyle name="Comma 20" xfId="47" xr:uid="{5BFB52B0-A985-4A8C-BDF2-205FF37CDF3A}"/>
    <cellStyle name="Comma 21 2 2" xfId="31" xr:uid="{B30194D4-CAD7-4EE0-AC7E-1E848986FD01}"/>
    <cellStyle name="Comma 22 4" xfId="27" xr:uid="{B833FBA0-5790-4F77-8C0B-EF7760961250}"/>
    <cellStyle name="Comma 27" xfId="60" xr:uid="{B44586C2-28B6-4FCA-9C3F-9FB0309A365E}"/>
    <cellStyle name="Comma 29" xfId="57" xr:uid="{A19D0A34-A024-4A6C-9945-A57543C3C198}"/>
    <cellStyle name="Comma 30" xfId="56" xr:uid="{4B8A19E7-4427-447D-BB52-966F0D029157}"/>
    <cellStyle name="Currency 2" xfId="4" xr:uid="{00000000-0005-0000-0000-000003000000}"/>
    <cellStyle name="Hyperlink" xfId="67" builtinId="8"/>
    <cellStyle name="Normal" xfId="0" builtinId="0"/>
    <cellStyle name="Normal 10" xfId="15" xr:uid="{6184A08A-BE0E-4074-ADFD-B5C1B1B31523}"/>
    <cellStyle name="Normal 10 3 2" xfId="25" xr:uid="{0516D0A9-92F5-4875-929F-9145B800A2DD}"/>
    <cellStyle name="Normal 10 5" xfId="19" xr:uid="{96D446BA-7E79-4FA7-9E56-420838FE9FCB}"/>
    <cellStyle name="Normal 11" xfId="5" xr:uid="{00000000-0005-0000-0000-000005000000}"/>
    <cellStyle name="Normal 2" xfId="6" xr:uid="{00000000-0005-0000-0000-000006000000}"/>
    <cellStyle name="Normal 2 10" xfId="16" xr:uid="{ED566C33-4C25-4900-8B66-5188BD3D6862}"/>
    <cellStyle name="Normal 2 14" xfId="62" xr:uid="{E1DC4841-4CD9-4690-9E21-D23EFEDFD979}"/>
    <cellStyle name="Normal 2 19" xfId="35" xr:uid="{D2C1CD3D-22D1-4311-8476-C044765A502A}"/>
    <cellStyle name="Normal 2 2 2 4" xfId="24" xr:uid="{C60CF251-FB31-45FD-9C33-D9C8AD7F339A}"/>
    <cellStyle name="Normal 2 3" xfId="30" xr:uid="{DA3F4930-82A4-448C-8EB0-F397FC32DBCD}"/>
    <cellStyle name="Normal 2 4" xfId="7" xr:uid="{00000000-0005-0000-0000-000007000000}"/>
    <cellStyle name="Normal 2 4 2" xfId="37" xr:uid="{F11AF7C3-0C06-4448-B9E0-6ADFD6661DF9}"/>
    <cellStyle name="Normal 2 5" xfId="66" xr:uid="{50CB1B69-1F9E-4685-94C4-598E29343F2F}"/>
    <cellStyle name="Normal 20" xfId="45" xr:uid="{BBE44BFB-E344-4066-A03F-8382C045EBF8}"/>
    <cellStyle name="Normal 21" xfId="46" xr:uid="{62146D0C-F145-49E8-AFD5-277CE9B18AF4}"/>
    <cellStyle name="Normal 22" xfId="48" xr:uid="{C45D67B0-1AC9-4717-9628-901A370BD956}"/>
    <cellStyle name="Normal 23" xfId="50" xr:uid="{3D5C127F-595A-483A-B772-AC8C066C23B1}"/>
    <cellStyle name="Normal 24" xfId="51" xr:uid="{A0D5B9C7-FFFA-407B-A51A-30DB1C759A6C}"/>
    <cellStyle name="Normal 25" xfId="53" xr:uid="{4AE6A2FC-4DBB-45C4-842A-C6547C38E6FC}"/>
    <cellStyle name="Normal 26" xfId="52" xr:uid="{910A3B14-3E54-455C-9C12-97D7B3F43176}"/>
    <cellStyle name="Normal 28" xfId="59" xr:uid="{C12E699B-1026-4275-B1A6-C710C16E12AD}"/>
    <cellStyle name="Normal 29 3 2" xfId="44" xr:uid="{718EE2E2-92B1-404A-8423-CD06FC7AEFF1}"/>
    <cellStyle name="Normal 3" xfId="1" xr:uid="{00000000-0005-0000-0000-000008000000}"/>
    <cellStyle name="Normal 3 16 2" xfId="36" xr:uid="{124D3B23-DBE5-4ED3-BFEF-C015D911D215}"/>
    <cellStyle name="Normal 3 2" xfId="13" xr:uid="{B4A19DF5-B113-47AC-A8E3-FBDA76AE3378}"/>
    <cellStyle name="Normal 3 2 3" xfId="14" xr:uid="{78C37F8A-BECD-4A38-9F6D-B90483D4FD4B}"/>
    <cellStyle name="Normal 3 6" xfId="20" xr:uid="{C97CC978-5D9C-409B-9F2B-45173912028E}"/>
    <cellStyle name="Normal 30" xfId="8" xr:uid="{00000000-0005-0000-0000-000009000000}"/>
    <cellStyle name="Normal 31" xfId="55" xr:uid="{78393CEB-A23C-447C-B338-80EDFB15AA46}"/>
    <cellStyle name="Normal 32 2" xfId="18" xr:uid="{F742BB31-28AA-4315-A4E0-4B66359B78A0}"/>
    <cellStyle name="Normal 33" xfId="9" xr:uid="{00000000-0005-0000-0000-00000A000000}"/>
    <cellStyle name="Normal 4" xfId="11" xr:uid="{00000000-0005-0000-0000-00000B000000}"/>
    <cellStyle name="Normal 4 10" xfId="28" xr:uid="{D22A1E71-58BB-44FC-B8C6-AF20EFDB2A9A}"/>
    <cellStyle name="Normal 4 28" xfId="33" xr:uid="{4CA5ABDA-E4D8-47BC-B3B4-95641D99FD5A}"/>
    <cellStyle name="Normal 5 16" xfId="34" xr:uid="{B39AC7CA-B913-435C-9991-217922552E26}"/>
    <cellStyle name="Normal 54" xfId="58" xr:uid="{83764CB4-25C5-4461-B880-7AE876059D97}"/>
    <cellStyle name="Normal 54 4" xfId="23" xr:uid="{75334AEB-5AA8-4DC8-BA8C-3CDB46E68056}"/>
    <cellStyle name="Normal 55 2" xfId="29" xr:uid="{36493787-9B84-4E3C-A057-F8D9EC8ABC05}"/>
    <cellStyle name="Normal 57 2" xfId="26" xr:uid="{8BA3410D-9846-4F38-A5EC-D19215903A86}"/>
    <cellStyle name="Normal 59" xfId="22" xr:uid="{D2629D66-12FD-4A0A-8E0B-BCAC746FA0D1}"/>
    <cellStyle name="Normal 6" xfId="39" xr:uid="{05746FBF-47D5-4D75-AB35-1314B36AFCC9}"/>
    <cellStyle name="Normal 6 2" xfId="54" xr:uid="{67F1DDC7-2FB4-47C4-94B8-55FF80BC7B5E}"/>
    <cellStyle name="Normal 68" xfId="21" xr:uid="{8A016439-0BC9-428F-BCE9-DDB4C24FB707}"/>
    <cellStyle name="Normal 69" xfId="32" xr:uid="{D80ED0E1-7FD8-4479-963C-B6D433A62661}"/>
    <cellStyle name="Normal 69 2" xfId="63" xr:uid="{AFFE6C2B-05F7-4D31-9068-602635054CE1}"/>
    <cellStyle name="Normal 7 10" xfId="38" xr:uid="{2FE23F3C-CC6C-42D8-98F9-9AF33B53DC5F}"/>
    <cellStyle name="Normal 70" xfId="41" xr:uid="{F5D4BBD6-CBF4-4E85-A3C2-0FA34CA2F801}"/>
    <cellStyle name="Normal 70 2" xfId="64" xr:uid="{BEC864BA-17A1-48AD-A47B-CF6954EF6C8A}"/>
    <cellStyle name="Normal 71" xfId="40" xr:uid="{48F4B729-A48C-470E-892A-A8D3E30D0360}"/>
    <cellStyle name="Normal 71 2" xfId="61" xr:uid="{16DDBB53-11B1-48EC-BEA4-D08FB7186540}"/>
    <cellStyle name="Percent 2" xfId="10" xr:uid="{00000000-0005-0000-0000-00000C000000}"/>
    <cellStyle name="Percent 3 4" xfId="42" xr:uid="{50F3BFF4-4342-4DBE-B93B-E447EA408B10}"/>
  </cellStyles>
  <dxfs count="60"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 style="thin">
          <color indexed="64"/>
        </right>
        <top style="double">
          <color indexed="64"/>
        </top>
        <bottom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alignment horizontal="right" vertical="bottom" textRotation="0" wrapText="0" indent="0" justifyLastLine="0" shrinkToFit="0" readingOrder="0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4" formatCode="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30" formatCode="@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double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sz val="11"/>
        <color rgb="FF000000"/>
        <name val="Calibri"/>
        <scheme val="none"/>
      </font>
    </dxf>
    <dxf>
      <border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 style="thin">
          <color indexed="64"/>
        </right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alignment horizontal="right" vertical="bottom" textRotation="0" wrapText="0" indent="0" justifyLastLine="0" shrinkToFit="0" readingOrder="0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30" formatCode="@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double">
          <color indexed="64"/>
        </top>
      </border>
    </dxf>
    <dxf>
      <font>
        <b/>
        <strike val="0"/>
        <outline val="0"/>
        <shadow val="0"/>
        <u val="none"/>
        <sz val="11"/>
        <color theme="1"/>
        <name val="Calibri"/>
        <family val="2"/>
        <scheme val="minor"/>
      </font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14:I17" totalsRowCount="1" headerRowDxfId="59" dataDxfId="57" totalsRowDxfId="55" headerRowBorderDxfId="58" tableBorderDxfId="56" totalsRowBorderDxfId="54">
  <tableColumns count="9">
    <tableColumn id="1" xr3:uid="{00000000-0010-0000-0000-000001000000}" name="IPC No." dataDxfId="53" totalsRowDxfId="52"/>
    <tableColumn id="2" xr3:uid="{00000000-0010-0000-0000-000002000000}" name="IPC Submisstion_x000a_Date" dataDxfId="51" totalsRowDxfId="50"/>
    <tableColumn id="10" xr3:uid="{00000000-0010-0000-0000-00000A000000}" name="IPC Amount" totalsRowFunction="sum" dataDxfId="49" totalsRowDxfId="48" dataCellStyle="Comma"/>
    <tableColumn id="11" xr3:uid="{00000000-0010-0000-0000-00000B000000}" name="IPC Amount_x000a_for Price Adj." totalsRowFunction="sum" dataDxfId="47" totalsRowDxfId="46" dataCellStyle="Comma">
      <calculatedColumnFormula>Table2[[#This Row],[IPC Amount]]</calculatedColumnFormula>
    </tableColumn>
    <tableColumn id="3" xr3:uid="{00000000-0010-0000-0000-000003000000}" name="l" dataDxfId="45" totalsRowDxfId="44">
      <calculatedColumnFormula>nrb(Table2[[#This Row],[IPC Submisstion
Date]],Table2[[#Headers],[l]])</calculatedColumnFormula>
    </tableColumn>
    <tableColumn id="4" xr3:uid="{00000000-0010-0000-0000-000004000000}" name="m" dataDxfId="43" totalsRowDxfId="42">
      <calculatedColumnFormula>nrb(Table2[[#This Row],[IPC Submisstion
Date]],Table2[[#Headers],[m]])</calculatedColumnFormula>
    </tableColumn>
    <tableColumn id="5" xr3:uid="{00000000-0010-0000-0000-000005000000}" name="n" dataDxfId="41" totalsRowDxfId="40">
      <calculatedColumnFormula>nrb(Table2[[#This Row],[IPC Submisstion
Date]],Table2[[#Headers],[n]])</calculatedColumnFormula>
    </tableColumn>
    <tableColumn id="6" xr3:uid="{00000000-0010-0000-0000-000006000000}" name="Price Adj._x000a_factor" totalsRowLabel="TOTAL" dataDxfId="39" totalsRowDxfId="38">
      <calculatedColumnFormula>a+
b*Table2[[#This Row],[l]]/lo+
c_*Table2[[#This Row],[m]]/mo+
d*Table2[[#This Row],[n]]/no</calculatedColumnFormula>
    </tableColumn>
    <tableColumn id="9" xr3:uid="{00000000-0010-0000-0000-000009000000}" name="Net Price Adj._x000a_Amount" totalsRowFunction="sum" dataDxfId="37" totalsRowDxfId="36" dataCellStyle="Comma">
      <calculatedColumnFormula>(Table2[[#This Row],[Price Adj.
factor]]-1) * Table2[[#This Row],[IPC Amount
for Price Adj.]]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EED31A8-4A30-40E7-97F0-52818E5F3450}" name="Table24" displayName="Table24" ref="A14:I17" totalsRowCount="1" headerRowDxfId="35" dataDxfId="33" totalsRowDxfId="31" headerRowBorderDxfId="34" tableBorderDxfId="32" totalsRowBorderDxfId="30">
  <tableColumns count="9">
    <tableColumn id="1" xr3:uid="{1888123D-36AF-446A-92A4-99EBE13C857F}" name="IPC No." dataDxfId="29" totalsRowDxfId="28"/>
    <tableColumn id="2" xr3:uid="{8B06FF7B-B8FB-4607-8A04-3132E1461472}" name="IPC Submisstion_x000a_Date" dataDxfId="27" totalsRowDxfId="26"/>
    <tableColumn id="10" xr3:uid="{AB87A04F-67DC-401F-85F8-CCB70A6B0D7C}" name="IPC Amount" totalsRowFunction="sum" dataDxfId="25" totalsRowDxfId="24" dataCellStyle="Comma"/>
    <tableColumn id="11" xr3:uid="{B237D9A4-4CC0-4B09-8541-5BA56A5EBAAE}" name="IPC Amount_x000a_for Price Adj." totalsRowFunction="sum" dataDxfId="23" totalsRowDxfId="22" dataCellStyle="Comma">
      <calculatedColumnFormula>Table24[[#This Row],[IPC Amount]]</calculatedColumnFormula>
    </tableColumn>
    <tableColumn id="3" xr3:uid="{30F6467A-D361-40AF-8A71-16E95FF9F741}" name="l" dataDxfId="21" totalsRowDxfId="20">
      <calculatedColumnFormula>ADnrb(Table24[[#This Row],[IPC Submisstion
Date]],Table24[[#Headers],[l]])</calculatedColumnFormula>
    </tableColumn>
    <tableColumn id="4" xr3:uid="{48BE5BC1-6E81-4791-B9E2-25232BACB2A7}" name="m" dataDxfId="19" totalsRowDxfId="18">
      <calculatedColumnFormula>ADnrb(Table24[[#This Row],[IPC Submisstion
Date]],Table24[[#Headers],[m]])</calculatedColumnFormula>
    </tableColumn>
    <tableColumn id="5" xr3:uid="{5EC6059E-CC6F-4210-A290-B3FB6C3E8E7F}" name="n" dataDxfId="17" totalsRowDxfId="16">
      <calculatedColumnFormula>ADnrb(Table24[[#This Row],[IPC Submisstion
Date]],Table24[[#Headers],[n]])</calculatedColumnFormula>
    </tableColumn>
    <tableColumn id="6" xr3:uid="{6588019E-9B55-4DA2-A87C-F33C2982CA70}" name="Price Adj._x000a_factor" totalsRowLabel="TOTAL" dataDxfId="15" totalsRowDxfId="14">
      <calculatedColumnFormula>a+
b*Table24[[#This Row],[l]]/lo+
c_*Table24[[#This Row],[m]]/mo+
d*Table24[[#This Row],[n]]/no</calculatedColumnFormula>
    </tableColumn>
    <tableColumn id="9" xr3:uid="{B900CA5F-AC3F-4C8C-A5E9-EFB1D5D57D4F}" name="Net Price Adj._x000a_Amount" totalsRowFunction="sum" dataDxfId="13" totalsRowDxfId="12" dataCellStyle="Comma">
      <calculatedColumnFormula>(Table24[[#This Row],[Price Adj.
factor]]-1) * Table24[[#This Row],[IPC Amount
for Price Adj.]]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1:E120" totalsRowShown="0">
  <autoFilter ref="A1:E120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100-000001000000}" name="SN" dataDxfId="11"/>
    <tableColumn id="2" xr3:uid="{00000000-0010-0000-0100-000002000000}" name="Date"/>
    <tableColumn id="3" xr3:uid="{00000000-0010-0000-0100-000003000000}" name="Labour" dataDxfId="10"/>
    <tableColumn id="4" xr3:uid="{00000000-0010-0000-0100-000004000000}" name="Material" dataDxfId="9"/>
    <tableColumn id="5" xr3:uid="{00000000-0010-0000-0100-000005000000}" name="Equipment" dataDxfId="8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K91"/>
  <sheetViews>
    <sheetView tabSelected="1" zoomScaleNormal="100" zoomScaleSheetLayoutView="85" workbookViewId="0">
      <selection activeCell="B3" sqref="B3:I3"/>
    </sheetView>
  </sheetViews>
  <sheetFormatPr defaultRowHeight="15"/>
  <cols>
    <col min="1" max="1" width="15.28515625" style="6" customWidth="1"/>
    <col min="2" max="2" width="11.85546875" style="6" bestFit="1" customWidth="1"/>
    <col min="3" max="4" width="21.42578125" style="6" customWidth="1"/>
    <col min="5" max="7" width="10.140625" style="6" customWidth="1"/>
    <col min="8" max="8" width="13.7109375" style="6" bestFit="1" customWidth="1"/>
    <col min="9" max="9" width="19.85546875" style="6" customWidth="1"/>
    <col min="10" max="10" width="14.85546875" bestFit="1" customWidth="1"/>
    <col min="11" max="11" width="18.7109375" style="6" customWidth="1"/>
    <col min="12" max="16384" width="9.140625" style="6"/>
  </cols>
  <sheetData>
    <row r="1" spans="1:11" ht="28.5">
      <c r="A1" s="39" t="s">
        <v>55</v>
      </c>
      <c r="B1" s="39"/>
      <c r="C1" s="39"/>
      <c r="D1" s="39"/>
      <c r="E1" s="39"/>
      <c r="F1" s="39"/>
      <c r="G1" s="39"/>
      <c r="H1" s="39"/>
      <c r="I1" s="39"/>
    </row>
    <row r="2" spans="1:11">
      <c r="A2" s="8"/>
      <c r="B2" s="8"/>
      <c r="C2" s="8"/>
      <c r="D2" s="8"/>
      <c r="E2" s="8"/>
      <c r="F2" s="8"/>
      <c r="G2" s="8"/>
      <c r="H2" s="8"/>
      <c r="I2" s="8"/>
    </row>
    <row r="3" spans="1:11" ht="30" customHeight="1">
      <c r="A3" s="34" t="s">
        <v>43</v>
      </c>
      <c r="B3" s="44"/>
      <c r="C3" s="44"/>
      <c r="D3" s="44"/>
      <c r="E3" s="44"/>
      <c r="F3" s="44"/>
      <c r="G3" s="44"/>
      <c r="H3" s="44"/>
      <c r="I3" s="44"/>
    </row>
    <row r="4" spans="1:11">
      <c r="A4" s="9" t="s">
        <v>44</v>
      </c>
      <c r="B4" s="45"/>
      <c r="C4" s="45"/>
      <c r="D4" s="45"/>
      <c r="E4" s="45"/>
      <c r="F4" s="45"/>
      <c r="G4" s="45"/>
      <c r="H4" s="45"/>
      <c r="I4" s="45"/>
    </row>
    <row r="5" spans="1:11">
      <c r="A5" s="9"/>
      <c r="B5" s="9"/>
    </row>
    <row r="6" spans="1:11" ht="15" customHeight="1">
      <c r="A6" s="43" t="s">
        <v>61</v>
      </c>
      <c r="B6" s="42" t="s">
        <v>76</v>
      </c>
      <c r="C6" s="42"/>
      <c r="D6" s="42"/>
    </row>
    <row r="7" spans="1:11" ht="18">
      <c r="A7" s="43"/>
      <c r="B7" s="10" t="s">
        <v>45</v>
      </c>
      <c r="C7" s="10" t="s">
        <v>49</v>
      </c>
      <c r="D7" s="10" t="s">
        <v>50</v>
      </c>
      <c r="E7" s="2"/>
    </row>
    <row r="8" spans="1:11">
      <c r="A8" s="21" t="s">
        <v>59</v>
      </c>
      <c r="B8" s="11">
        <f>nrb($A$8,"l")</f>
        <v>500.8381542398198</v>
      </c>
      <c r="C8" s="11">
        <f>nrb($A$8,"m")</f>
        <v>102.426025</v>
      </c>
      <c r="D8" s="11">
        <f>nrb($A$8,"n")</f>
        <v>107.387505</v>
      </c>
      <c r="E8" s="12"/>
    </row>
    <row r="10" spans="1:11">
      <c r="A10" s="42" t="s">
        <v>52</v>
      </c>
      <c r="B10" s="42"/>
      <c r="C10" s="42"/>
      <c r="D10" s="42"/>
      <c r="E10" s="42"/>
      <c r="H10" s="16"/>
    </row>
    <row r="11" spans="1:11" ht="30">
      <c r="A11" s="33" t="s">
        <v>68</v>
      </c>
      <c r="B11" s="33" t="s">
        <v>69</v>
      </c>
      <c r="C11" s="33" t="s">
        <v>70</v>
      </c>
      <c r="D11" s="33" t="s">
        <v>71</v>
      </c>
      <c r="E11" s="13" t="s">
        <v>53</v>
      </c>
    </row>
    <row r="12" spans="1:11">
      <c r="A12" s="11">
        <v>0.15</v>
      </c>
      <c r="B12" s="11"/>
      <c r="C12" s="11"/>
      <c r="D12" s="11"/>
      <c r="E12" s="11">
        <f>SUM(A12:D12)</f>
        <v>0.15</v>
      </c>
    </row>
    <row r="13" spans="1:11" ht="49.5" customHeight="1">
      <c r="E13" s="46" t="s">
        <v>65</v>
      </c>
      <c r="F13" s="46"/>
      <c r="G13" s="46"/>
      <c r="K13" s="23"/>
    </row>
    <row r="14" spans="1:11" ht="45">
      <c r="A14" s="3" t="s">
        <v>64</v>
      </c>
      <c r="B14" s="5" t="s">
        <v>63</v>
      </c>
      <c r="C14" s="4" t="s">
        <v>74</v>
      </c>
      <c r="D14" s="5" t="s">
        <v>75</v>
      </c>
      <c r="E14" s="4" t="s">
        <v>46</v>
      </c>
      <c r="F14" s="4" t="s">
        <v>47</v>
      </c>
      <c r="G14" s="4" t="s">
        <v>48</v>
      </c>
      <c r="H14" s="5" t="s">
        <v>51</v>
      </c>
      <c r="I14" s="33" t="s">
        <v>56</v>
      </c>
      <c r="K14" s="23"/>
    </row>
    <row r="15" spans="1:11">
      <c r="A15" s="27">
        <v>1</v>
      </c>
      <c r="B15" s="20" t="s">
        <v>60</v>
      </c>
      <c r="C15" s="14"/>
      <c r="D15" s="7">
        <f>Table2[[#This Row],[IPC Amount]]</f>
        <v>0</v>
      </c>
      <c r="E15" s="15">
        <f>nrb(Table2[[#This Row],[IPC Submisstion
Date]],Table2[[#Headers],[l]])</f>
        <v>500.96844064228122</v>
      </c>
      <c r="F15" s="15">
        <f>nrb(Table2[[#This Row],[IPC Submisstion
Date]],Table2[[#Headers],[m]])</f>
        <v>105.03371</v>
      </c>
      <c r="G15" s="15">
        <f>nrb(Table2[[#This Row],[IPC Submisstion
Date]],Table2[[#Headers],[n]])</f>
        <v>112.74575</v>
      </c>
      <c r="H15" s="11">
        <f>a+
b*Table2[[#This Row],[l]]/lo+
c_*Table2[[#This Row],[m]]/mo+
d*Table2[[#This Row],[n]]/no</f>
        <v>0.15</v>
      </c>
      <c r="I15" s="7">
        <f>(Table2[[#This Row],[Price Adj.
factor]]-1) * Table2[[#This Row],[IPC Amount
for Price Adj.]]</f>
        <v>0</v>
      </c>
      <c r="K15" s="25"/>
    </row>
    <row r="16" spans="1:11" ht="15.75" thickBot="1">
      <c r="A16" s="27">
        <v>2</v>
      </c>
      <c r="B16" s="20" t="s">
        <v>77</v>
      </c>
      <c r="C16" s="7"/>
      <c r="D16" s="7">
        <f>Table2[[#This Row],[IPC Amount]]</f>
        <v>0</v>
      </c>
      <c r="E16" s="15">
        <f>nrb(Table2[[#This Row],[IPC Submisstion
Date]],Table2[[#Headers],[l]])</f>
        <v>500.96844064228122</v>
      </c>
      <c r="F16" s="15">
        <f>nrb(Table2[[#This Row],[IPC Submisstion
Date]],Table2[[#Headers],[m]])</f>
        <v>105.03371</v>
      </c>
      <c r="G16" s="15">
        <f>nrb(Table2[[#This Row],[IPC Submisstion
Date]],Table2[[#Headers],[n]])</f>
        <v>112.74575</v>
      </c>
      <c r="H16" s="11">
        <f>a+
b*Table2[[#This Row],[l]]/lo+
c_*Table2[[#This Row],[m]]/mo+
d*Table2[[#This Row],[n]]/no</f>
        <v>0.15</v>
      </c>
      <c r="I16" s="7">
        <f>(Table2[[#This Row],[Price Adj.
factor]]-1) * Table2[[#This Row],[IPC Amount
for Price Adj.]]</f>
        <v>0</v>
      </c>
    </row>
    <row r="17" spans="1:11" ht="15.75" thickTop="1">
      <c r="A17" s="28"/>
      <c r="B17" s="28"/>
      <c r="C17" s="28">
        <f>SUBTOTAL(109,Table2[IPC Amount])</f>
        <v>0</v>
      </c>
      <c r="D17" s="28">
        <f>SUBTOTAL(109,Table2[IPC Amount
for Price Adj.])</f>
        <v>0</v>
      </c>
      <c r="E17" s="28"/>
      <c r="F17" s="28"/>
      <c r="G17" s="28"/>
      <c r="H17" s="29" t="s">
        <v>53</v>
      </c>
      <c r="I17" s="30">
        <f>SUBTOTAL(109,Table2[Net Price Adj.
Amount])</f>
        <v>0</v>
      </c>
      <c r="K17" s="19"/>
    </row>
    <row r="18" spans="1:11">
      <c r="A18" s="35"/>
      <c r="B18" s="35"/>
      <c r="C18" s="35"/>
      <c r="D18" s="35"/>
      <c r="E18" s="35"/>
      <c r="F18" s="35"/>
      <c r="G18" s="35"/>
      <c r="H18" s="36"/>
      <c r="I18" s="35"/>
    </row>
    <row r="19" spans="1:11">
      <c r="A19" s="40" t="s">
        <v>54</v>
      </c>
      <c r="B19" s="40"/>
      <c r="C19" s="40"/>
      <c r="D19" s="40"/>
      <c r="E19" s="40"/>
      <c r="F19" s="40"/>
      <c r="G19" s="40"/>
      <c r="H19" s="40"/>
      <c r="I19" s="40"/>
    </row>
    <row r="20" spans="1:11">
      <c r="A20" s="41" t="s">
        <v>57</v>
      </c>
      <c r="B20" s="41"/>
      <c r="C20" s="41"/>
      <c r="D20" s="41"/>
      <c r="E20" s="41"/>
      <c r="F20" s="41"/>
      <c r="G20" s="41"/>
      <c r="H20" s="41"/>
      <c r="I20" s="41"/>
    </row>
    <row r="21" spans="1:11">
      <c r="A21" s="41" t="s">
        <v>58</v>
      </c>
      <c r="B21" s="41"/>
      <c r="C21" s="41"/>
      <c r="D21" s="41"/>
      <c r="E21" s="41"/>
      <c r="F21" s="41"/>
      <c r="G21" s="41"/>
      <c r="H21" s="41"/>
      <c r="I21" s="41"/>
    </row>
    <row r="24" spans="1:11" ht="28.5">
      <c r="A24" s="38" t="s">
        <v>73</v>
      </c>
      <c r="B24" s="38"/>
      <c r="C24" s="38"/>
      <c r="D24" s="38"/>
      <c r="E24" s="38"/>
      <c r="F24" s="38"/>
      <c r="G24" s="38"/>
      <c r="H24" s="38"/>
      <c r="I24" s="38"/>
    </row>
    <row r="85" spans="1:10">
      <c r="J85" s="6"/>
    </row>
    <row r="87" spans="1:10">
      <c r="J87" s="6"/>
    </row>
    <row r="88" spans="1:10">
      <c r="A88" s="16"/>
      <c r="J88" s="6"/>
    </row>
    <row r="90" spans="1:10">
      <c r="B90" s="16"/>
    </row>
    <row r="91" spans="1:10">
      <c r="B91" s="16"/>
    </row>
  </sheetData>
  <mergeCells count="11">
    <mergeCell ref="A24:I24"/>
    <mergeCell ref="A1:I1"/>
    <mergeCell ref="A19:I19"/>
    <mergeCell ref="A20:I20"/>
    <mergeCell ref="A21:I21"/>
    <mergeCell ref="A10:E10"/>
    <mergeCell ref="B6:D6"/>
    <mergeCell ref="A6:A7"/>
    <mergeCell ref="B3:I3"/>
    <mergeCell ref="B4:I4"/>
    <mergeCell ref="E13:G13"/>
  </mergeCells>
  <phoneticPr fontId="9" type="noConversion"/>
  <conditionalFormatting sqref="I15:I18">
    <cfRule type="cellIs" dxfId="7" priority="7" operator="lessThan">
      <formula>0</formula>
    </cfRule>
  </conditionalFormatting>
  <conditionalFormatting sqref="D15:D16">
    <cfRule type="cellIs" dxfId="6" priority="1" operator="lessThan">
      <formula>0</formula>
    </cfRule>
  </conditionalFormatting>
  <printOptions horizontalCentered="1"/>
  <pageMargins left="0.70866141732283472" right="0.51181102362204722" top="0.74803149606299213" bottom="0.74803149606299213" header="0.31496062992125984" footer="0.31496062992125984"/>
  <pageSetup paperSize="9" fitToHeight="0" orientation="landscape" horizontalDpi="1200" verticalDpi="1200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C5F7F-2B2E-4FD9-AA7C-3D3864F8219C}">
  <sheetPr codeName="Sheet3">
    <tabColor rgb="FF00B0F0"/>
    <pageSetUpPr fitToPage="1"/>
  </sheetPr>
  <dimension ref="A1:K93"/>
  <sheetViews>
    <sheetView zoomScaleNormal="100" zoomScaleSheetLayoutView="85" workbookViewId="0">
      <selection activeCell="B3" sqref="B3:I3"/>
    </sheetView>
  </sheetViews>
  <sheetFormatPr defaultRowHeight="15"/>
  <cols>
    <col min="1" max="1" width="15.28515625" style="6" customWidth="1"/>
    <col min="2" max="2" width="11.85546875" style="6" bestFit="1" customWidth="1"/>
    <col min="3" max="4" width="21.42578125" style="6" customWidth="1"/>
    <col min="5" max="7" width="10.140625" style="6" customWidth="1"/>
    <col min="8" max="8" width="13.7109375" style="6" bestFit="1" customWidth="1"/>
    <col min="9" max="9" width="19.85546875" style="6" customWidth="1"/>
    <col min="10" max="10" width="14.85546875" bestFit="1" customWidth="1"/>
    <col min="11" max="11" width="18.7109375" style="6" customWidth="1"/>
    <col min="12" max="16384" width="9.140625" style="6"/>
  </cols>
  <sheetData>
    <row r="1" spans="1:11" ht="28.5">
      <c r="A1" s="39" t="s">
        <v>55</v>
      </c>
      <c r="B1" s="39"/>
      <c r="C1" s="39"/>
      <c r="D1" s="39"/>
      <c r="E1" s="39"/>
      <c r="F1" s="39"/>
      <c r="G1" s="39"/>
      <c r="H1" s="39"/>
      <c r="I1" s="39"/>
    </row>
    <row r="2" spans="1:11">
      <c r="A2" s="8"/>
      <c r="B2" s="8"/>
      <c r="C2" s="8"/>
      <c r="D2" s="8"/>
      <c r="E2" s="8"/>
      <c r="F2" s="8"/>
      <c r="G2" s="8"/>
      <c r="H2" s="8"/>
      <c r="I2" s="8"/>
    </row>
    <row r="3" spans="1:11" ht="30.75" customHeight="1">
      <c r="A3" s="34" t="s">
        <v>43</v>
      </c>
      <c r="B3" s="44"/>
      <c r="C3" s="44"/>
      <c r="D3" s="44"/>
      <c r="E3" s="44"/>
      <c r="F3" s="44"/>
      <c r="G3" s="44"/>
      <c r="H3" s="44"/>
      <c r="I3" s="44"/>
    </row>
    <row r="4" spans="1:11">
      <c r="A4" s="9" t="s">
        <v>44</v>
      </c>
      <c r="B4" s="45"/>
      <c r="C4" s="45"/>
      <c r="D4" s="45"/>
      <c r="E4" s="45"/>
      <c r="F4" s="45"/>
      <c r="G4" s="45"/>
      <c r="H4" s="45"/>
      <c r="I4" s="45"/>
    </row>
    <row r="5" spans="1:11">
      <c r="A5" s="9"/>
      <c r="B5" s="9"/>
    </row>
    <row r="6" spans="1:11">
      <c r="A6" s="43" t="s">
        <v>61</v>
      </c>
      <c r="B6" s="42" t="s">
        <v>76</v>
      </c>
      <c r="C6" s="42"/>
      <c r="D6" s="42"/>
    </row>
    <row r="7" spans="1:11" ht="18">
      <c r="A7" s="43"/>
      <c r="B7" s="24" t="s">
        <v>45</v>
      </c>
      <c r="C7" s="24" t="s">
        <v>49</v>
      </c>
      <c r="D7" s="24" t="s">
        <v>50</v>
      </c>
      <c r="E7" s="2"/>
    </row>
    <row r="8" spans="1:11">
      <c r="A8" s="21" t="s">
        <v>72</v>
      </c>
      <c r="B8" s="11">
        <f>ADnrb($A$8,"l")</f>
        <v>500.8381542398198</v>
      </c>
      <c r="C8" s="11">
        <f>ADnrb($A$8,"m")</f>
        <v>102.93785</v>
      </c>
      <c r="D8" s="11">
        <f>ADnrb($A$8,"n")</f>
        <v>107.676216</v>
      </c>
      <c r="E8" s="12"/>
    </row>
    <row r="10" spans="1:11">
      <c r="A10" s="42" t="s">
        <v>52</v>
      </c>
      <c r="B10" s="42"/>
      <c r="C10" s="42"/>
      <c r="D10" s="42"/>
      <c r="E10" s="42"/>
      <c r="H10" s="16"/>
    </row>
    <row r="11" spans="1:11" ht="30.75" customHeight="1">
      <c r="A11" s="32" t="s">
        <v>68</v>
      </c>
      <c r="B11" s="32" t="s">
        <v>69</v>
      </c>
      <c r="C11" s="32" t="s">
        <v>70</v>
      </c>
      <c r="D11" s="32" t="s">
        <v>71</v>
      </c>
      <c r="E11" s="13" t="s">
        <v>53</v>
      </c>
    </row>
    <row r="12" spans="1:11">
      <c r="A12" s="11">
        <v>0.15</v>
      </c>
      <c r="B12" s="11"/>
      <c r="C12" s="11"/>
      <c r="D12" s="11"/>
      <c r="E12" s="11">
        <f>SUM(A12:D12)</f>
        <v>0.15</v>
      </c>
    </row>
    <row r="13" spans="1:11" ht="49.5" customHeight="1">
      <c r="E13" s="46" t="s">
        <v>65</v>
      </c>
      <c r="F13" s="47"/>
      <c r="G13" s="47"/>
      <c r="K13" s="23"/>
    </row>
    <row r="14" spans="1:11" ht="45">
      <c r="A14" s="3" t="s">
        <v>64</v>
      </c>
      <c r="B14" s="5" t="s">
        <v>63</v>
      </c>
      <c r="C14" s="4" t="s">
        <v>74</v>
      </c>
      <c r="D14" s="5" t="s">
        <v>75</v>
      </c>
      <c r="E14" s="4" t="s">
        <v>46</v>
      </c>
      <c r="F14" s="4" t="s">
        <v>47</v>
      </c>
      <c r="G14" s="4" t="s">
        <v>48</v>
      </c>
      <c r="H14" s="5" t="s">
        <v>51</v>
      </c>
      <c r="I14" s="22" t="s">
        <v>56</v>
      </c>
      <c r="K14" s="23"/>
    </row>
    <row r="15" spans="1:11">
      <c r="A15" s="27">
        <v>1</v>
      </c>
      <c r="B15" s="20" t="s">
        <v>66</v>
      </c>
      <c r="C15" s="14"/>
      <c r="D15" s="7">
        <f>Table24[[#This Row],[IPC Amount]]</f>
        <v>0</v>
      </c>
      <c r="E15" s="15">
        <f>ADnrb(Table24[[#This Row],[IPC Submisstion
Date]],Table24[[#Headers],[l]])</f>
        <v>500.96844064228122</v>
      </c>
      <c r="F15" s="15">
        <f>ADnrb(Table24[[#This Row],[IPC Submisstion
Date]],Table24[[#Headers],[m]])</f>
        <v>105.03371</v>
      </c>
      <c r="G15" s="15">
        <f>ADnrb(Table24[[#This Row],[IPC Submisstion
Date]],Table24[[#Headers],[n]])</f>
        <v>112.74575</v>
      </c>
      <c r="H15" s="11">
        <f>a+
b*Table24[[#This Row],[l]]/lo+
c_*Table24[[#This Row],[m]]/mo+
d*Table24[[#This Row],[n]]/no</f>
        <v>0.15</v>
      </c>
      <c r="I15" s="7">
        <f>(Table24[[#This Row],[Price Adj.
factor]]-1) * Table24[[#This Row],[IPC Amount
for Price Adj.]]</f>
        <v>0</v>
      </c>
      <c r="K15" s="26"/>
    </row>
    <row r="16" spans="1:11" ht="15.75" thickBot="1">
      <c r="A16" s="31">
        <v>2</v>
      </c>
      <c r="B16" s="20" t="s">
        <v>67</v>
      </c>
      <c r="C16" s="14"/>
      <c r="D16" s="7">
        <f>Table24[[#This Row],[IPC Amount]]</f>
        <v>0</v>
      </c>
      <c r="E16" s="15">
        <f>ADnrb(Table24[[#This Row],[IPC Submisstion
Date]],Table24[[#Headers],[l]])</f>
        <v>514.52547814384309</v>
      </c>
      <c r="F16" s="15">
        <f>ADnrb(Table24[[#This Row],[IPC Submisstion
Date]],Table24[[#Headers],[m]])</f>
        <v>109.27761</v>
      </c>
      <c r="G16" s="15">
        <f>ADnrb(Table24[[#This Row],[IPC Submisstion
Date]],Table24[[#Headers],[n]])</f>
        <v>113.512</v>
      </c>
      <c r="H16" s="11">
        <f>a+
b*Table24[[#This Row],[l]]/lo+
c_*Table24[[#This Row],[m]]/mo+
d*Table24[[#This Row],[n]]/no</f>
        <v>0.15</v>
      </c>
      <c r="I16" s="7">
        <f>(Table24[[#This Row],[Price Adj.
factor]]-1) * Table24[[#This Row],[IPC Amount
for Price Adj.]]</f>
        <v>0</v>
      </c>
      <c r="K16" s="19"/>
    </row>
    <row r="17" spans="1:11" ht="15.75" thickTop="1">
      <c r="A17" s="28"/>
      <c r="B17" s="28"/>
      <c r="C17" s="28">
        <f>SUBTOTAL(109,Table24[IPC Amount])</f>
        <v>0</v>
      </c>
      <c r="D17" s="28">
        <f>SUBTOTAL(109,Table24[IPC Amount
for Price Adj.])</f>
        <v>0</v>
      </c>
      <c r="E17" s="28"/>
      <c r="F17" s="28"/>
      <c r="G17" s="28"/>
      <c r="H17" s="29" t="s">
        <v>53</v>
      </c>
      <c r="I17" s="30">
        <f>SUBTOTAL(109,Table24[Net Price Adj.
Amount])</f>
        <v>0</v>
      </c>
      <c r="K17" s="19"/>
    </row>
    <row r="18" spans="1:11">
      <c r="A18" s="35"/>
      <c r="B18" s="35"/>
      <c r="C18" s="35"/>
      <c r="D18" s="35"/>
      <c r="E18" s="35"/>
      <c r="F18" s="35"/>
      <c r="G18" s="35"/>
      <c r="H18" s="36"/>
      <c r="I18" s="35"/>
    </row>
    <row r="19" spans="1:11">
      <c r="A19" s="40" t="s">
        <v>54</v>
      </c>
      <c r="B19" s="40"/>
      <c r="C19" s="40"/>
      <c r="D19" s="40"/>
      <c r="E19" s="40"/>
      <c r="F19" s="40"/>
      <c r="G19" s="40"/>
      <c r="H19" s="40"/>
      <c r="I19" s="40"/>
    </row>
    <row r="20" spans="1:11">
      <c r="A20" s="48" t="s">
        <v>57</v>
      </c>
      <c r="B20" s="48"/>
      <c r="C20" s="48"/>
      <c r="D20" s="48"/>
      <c r="E20" s="48"/>
      <c r="F20" s="48"/>
      <c r="G20" s="48"/>
      <c r="H20" s="48"/>
      <c r="I20" s="48"/>
    </row>
    <row r="21" spans="1:11">
      <c r="A21" s="48" t="s">
        <v>58</v>
      </c>
      <c r="B21" s="48"/>
      <c r="C21" s="48"/>
      <c r="D21" s="48"/>
      <c r="E21" s="48"/>
      <c r="F21" s="48"/>
      <c r="G21" s="48"/>
      <c r="H21" s="48"/>
      <c r="I21" s="48"/>
    </row>
    <row r="24" spans="1:11" ht="28.5">
      <c r="A24" s="38" t="s">
        <v>73</v>
      </c>
      <c r="B24" s="38"/>
      <c r="C24" s="38"/>
      <c r="D24" s="38"/>
      <c r="E24" s="38"/>
      <c r="F24" s="38"/>
      <c r="G24" s="38"/>
      <c r="H24" s="38"/>
      <c r="I24" s="38"/>
    </row>
    <row r="25" spans="1:11">
      <c r="A25" s="37"/>
    </row>
    <row r="90" spans="1:2" s="6" customFormat="1">
      <c r="A90" s="16"/>
    </row>
    <row r="92" spans="1:2" s="6" customFormat="1">
      <c r="B92" s="16"/>
    </row>
    <row r="93" spans="1:2" s="6" customFormat="1">
      <c r="B93" s="16"/>
    </row>
  </sheetData>
  <mergeCells count="11">
    <mergeCell ref="A24:I24"/>
    <mergeCell ref="A10:E10"/>
    <mergeCell ref="A19:I19"/>
    <mergeCell ref="A20:I20"/>
    <mergeCell ref="A21:I21"/>
    <mergeCell ref="A1:I1"/>
    <mergeCell ref="A6:A7"/>
    <mergeCell ref="B6:D6"/>
    <mergeCell ref="E13:G13"/>
    <mergeCell ref="B3:I3"/>
    <mergeCell ref="B4:I4"/>
  </mergeCells>
  <phoneticPr fontId="9" type="noConversion"/>
  <conditionalFormatting sqref="I15:I16">
    <cfRule type="cellIs" dxfId="5" priority="4" operator="lessThan">
      <formula>0</formula>
    </cfRule>
  </conditionalFormatting>
  <conditionalFormatting sqref="I17:I18">
    <cfRule type="cellIs" dxfId="4" priority="1" operator="lessThan">
      <formula>0</formula>
    </cfRule>
  </conditionalFormatting>
  <printOptions horizontalCentered="1"/>
  <pageMargins left="0.70866141732283472" right="0.70866141732283472" top="0.35433070866141736" bottom="0.35433070866141736" header="0.31496062992125984" footer="0.31496062992125984"/>
  <pageSetup paperSize="9" scale="98" fitToHeight="0" orientation="landscape" horizontalDpi="1200" verticalDpi="1200"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FF00"/>
  </sheetPr>
  <dimension ref="A1:H120"/>
  <sheetViews>
    <sheetView topLeftCell="A106" zoomScaleNormal="100" workbookViewId="0">
      <selection activeCell="C115" sqref="C115"/>
    </sheetView>
  </sheetViews>
  <sheetFormatPr defaultRowHeight="15"/>
  <cols>
    <col min="2" max="2" width="8.7109375" bestFit="1" customWidth="1"/>
    <col min="3" max="3" width="9.5703125" bestFit="1" customWidth="1"/>
    <col min="4" max="4" width="10.7109375" customWidth="1"/>
    <col min="5" max="5" width="12.85546875" customWidth="1"/>
    <col min="7" max="7" width="10" bestFit="1" customWidth="1"/>
    <col min="8" max="8" width="10.42578125" bestFit="1" customWidth="1"/>
  </cols>
  <sheetData>
    <row r="1" spans="1:8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8">
      <c r="A2" s="18">
        <v>1999</v>
      </c>
      <c r="B2" t="s">
        <v>5</v>
      </c>
      <c r="C2" s="17"/>
      <c r="D2" s="17">
        <v>30.8</v>
      </c>
      <c r="E2" s="17">
        <v>39.1</v>
      </c>
    </row>
    <row r="3" spans="1:8">
      <c r="A3" s="18">
        <v>2000</v>
      </c>
      <c r="B3" t="s">
        <v>31</v>
      </c>
      <c r="C3" s="17"/>
      <c r="D3" s="17">
        <v>31.9</v>
      </c>
      <c r="E3" s="17">
        <v>40</v>
      </c>
    </row>
    <row r="4" spans="1:8">
      <c r="A4" s="18">
        <v>2001</v>
      </c>
      <c r="B4" t="s">
        <v>32</v>
      </c>
      <c r="C4" s="17"/>
      <c r="D4" s="17">
        <v>33.5</v>
      </c>
      <c r="E4" s="17">
        <v>39.799999999999997</v>
      </c>
    </row>
    <row r="5" spans="1:8">
      <c r="A5" s="18">
        <v>2002</v>
      </c>
      <c r="B5" t="s">
        <v>33</v>
      </c>
      <c r="C5" s="17"/>
      <c r="D5" s="17">
        <v>33.700000000000003</v>
      </c>
      <c r="E5" s="17">
        <v>39.799999999999997</v>
      </c>
    </row>
    <row r="6" spans="1:8">
      <c r="A6" s="18">
        <v>2003</v>
      </c>
      <c r="B6" t="s">
        <v>34</v>
      </c>
      <c r="C6" s="17"/>
      <c r="D6" s="17">
        <v>38.9</v>
      </c>
      <c r="E6" s="17">
        <v>42</v>
      </c>
    </row>
    <row r="7" spans="1:8">
      <c r="A7" s="18">
        <v>2004</v>
      </c>
      <c r="B7" t="s">
        <v>35</v>
      </c>
      <c r="C7" s="17">
        <v>100</v>
      </c>
      <c r="D7" s="17">
        <v>44.9</v>
      </c>
      <c r="E7" s="17">
        <v>46.2</v>
      </c>
    </row>
    <row r="8" spans="1:8">
      <c r="A8" s="18">
        <v>2005</v>
      </c>
      <c r="B8" t="s">
        <v>36</v>
      </c>
      <c r="C8" s="17">
        <v>101.3</v>
      </c>
      <c r="D8" s="17">
        <v>45.8</v>
      </c>
      <c r="E8" s="17">
        <v>49.3</v>
      </c>
      <c r="H8" s="1"/>
    </row>
    <row r="9" spans="1:8">
      <c r="A9" s="18">
        <v>2006</v>
      </c>
      <c r="B9" t="s">
        <v>37</v>
      </c>
      <c r="C9" s="17">
        <v>109.1</v>
      </c>
      <c r="D9" s="17">
        <v>53</v>
      </c>
      <c r="E9" s="17">
        <v>50.8</v>
      </c>
    </row>
    <row r="10" spans="1:8">
      <c r="A10" s="18">
        <v>2007</v>
      </c>
      <c r="B10" t="s">
        <v>38</v>
      </c>
      <c r="C10" s="17">
        <v>120.2</v>
      </c>
      <c r="D10" s="17">
        <v>60.4</v>
      </c>
      <c r="E10" s="17">
        <v>55.4</v>
      </c>
    </row>
    <row r="11" spans="1:8">
      <c r="A11" s="18">
        <v>2008</v>
      </c>
      <c r="B11" t="s">
        <v>39</v>
      </c>
      <c r="C11" s="17">
        <v>138.6</v>
      </c>
      <c r="D11" s="17">
        <v>67</v>
      </c>
      <c r="E11" s="17">
        <v>66.599999999999994</v>
      </c>
    </row>
    <row r="12" spans="1:8">
      <c r="A12" s="18">
        <v>2009</v>
      </c>
      <c r="B12" t="s">
        <v>40</v>
      </c>
      <c r="C12" s="17">
        <v>156.6</v>
      </c>
      <c r="D12" s="17">
        <v>69.7</v>
      </c>
      <c r="E12" s="17">
        <v>65.099999999999994</v>
      </c>
    </row>
    <row r="13" spans="1:8">
      <c r="A13" s="18">
        <v>2010</v>
      </c>
      <c r="B13" t="s">
        <v>41</v>
      </c>
      <c r="C13" s="17">
        <v>189.9</v>
      </c>
      <c r="D13" s="17">
        <v>73.3</v>
      </c>
      <c r="E13" s="17">
        <v>68</v>
      </c>
    </row>
    <row r="14" spans="1:8">
      <c r="A14" s="18">
        <v>2011</v>
      </c>
      <c r="B14" t="s">
        <v>42</v>
      </c>
      <c r="C14" s="17">
        <v>250.3</v>
      </c>
      <c r="D14" s="17">
        <v>77.400000000000006</v>
      </c>
      <c r="E14" s="17">
        <v>75.599999999999994</v>
      </c>
    </row>
    <row r="15" spans="1:8">
      <c r="A15" s="18">
        <v>2012</v>
      </c>
      <c r="B15" t="s">
        <v>6</v>
      </c>
      <c r="C15" s="17">
        <v>268.10000000000002</v>
      </c>
      <c r="D15" s="17">
        <v>80.7</v>
      </c>
      <c r="E15" s="17">
        <v>77</v>
      </c>
    </row>
    <row r="16" spans="1:8">
      <c r="A16" s="18">
        <v>2013</v>
      </c>
      <c r="B16" t="s">
        <v>7</v>
      </c>
      <c r="C16" s="17">
        <v>285.89999999999998</v>
      </c>
      <c r="D16" s="17">
        <v>85.2</v>
      </c>
      <c r="E16" s="17">
        <v>75.900000000000006</v>
      </c>
    </row>
    <row r="17" spans="1:8">
      <c r="A17" s="18">
        <v>2014</v>
      </c>
      <c r="B17" t="s">
        <v>8</v>
      </c>
      <c r="C17" s="17">
        <v>322.89999999999998</v>
      </c>
      <c r="D17" s="17">
        <v>89</v>
      </c>
      <c r="E17" s="17">
        <v>76.400000000000006</v>
      </c>
    </row>
    <row r="18" spans="1:8">
      <c r="A18" s="18">
        <v>2015</v>
      </c>
      <c r="B18" t="s">
        <v>9</v>
      </c>
      <c r="C18" s="17">
        <v>354.1</v>
      </c>
      <c r="D18" s="17">
        <v>91.3</v>
      </c>
      <c r="E18" s="17">
        <v>82</v>
      </c>
    </row>
    <row r="19" spans="1:8">
      <c r="A19" s="18">
        <v>2016</v>
      </c>
      <c r="B19" t="s">
        <v>10</v>
      </c>
      <c r="C19" s="17">
        <v>405.7</v>
      </c>
      <c r="D19" s="17">
        <v>90.3</v>
      </c>
      <c r="E19" s="17">
        <v>97</v>
      </c>
    </row>
    <row r="20" spans="1:8">
      <c r="A20" s="17"/>
      <c r="B20" t="s">
        <v>11</v>
      </c>
      <c r="C20" s="17">
        <v>403.3</v>
      </c>
      <c r="D20" s="17">
        <v>88.4</v>
      </c>
      <c r="E20" s="17">
        <v>90.5</v>
      </c>
    </row>
    <row r="21" spans="1:8">
      <c r="A21" s="17">
        <v>2016.08</v>
      </c>
      <c r="B21" t="s">
        <v>12</v>
      </c>
      <c r="C21" s="17">
        <v>403.3</v>
      </c>
      <c r="D21" s="17">
        <v>88.8</v>
      </c>
      <c r="E21" s="17">
        <v>89.3</v>
      </c>
    </row>
    <row r="22" spans="1:8">
      <c r="A22" s="17">
        <v>2016.09</v>
      </c>
      <c r="B22" t="s">
        <v>13</v>
      </c>
      <c r="C22" s="17">
        <v>403.3</v>
      </c>
      <c r="D22" s="17">
        <v>88.4</v>
      </c>
      <c r="E22" s="17">
        <v>91.6</v>
      </c>
    </row>
    <row r="23" spans="1:8">
      <c r="A23" s="17">
        <v>2016.1</v>
      </c>
      <c r="B23" t="s">
        <v>14</v>
      </c>
      <c r="C23" s="17">
        <v>403.3</v>
      </c>
      <c r="D23" s="17">
        <v>87.9</v>
      </c>
      <c r="E23" s="17">
        <v>90.6</v>
      </c>
    </row>
    <row r="24" spans="1:8">
      <c r="A24" s="17"/>
      <c r="B24" t="s">
        <v>15</v>
      </c>
      <c r="C24" s="17">
        <v>403.8</v>
      </c>
      <c r="D24" s="17">
        <v>89.5</v>
      </c>
      <c r="E24" s="17">
        <v>96.4</v>
      </c>
    </row>
    <row r="25" spans="1:8">
      <c r="A25" s="17">
        <v>2016.11</v>
      </c>
      <c r="B25" t="s">
        <v>16</v>
      </c>
      <c r="C25" s="17">
        <v>403.3</v>
      </c>
      <c r="D25" s="17">
        <v>89</v>
      </c>
      <c r="E25" s="17">
        <v>91.6</v>
      </c>
    </row>
    <row r="26" spans="1:8">
      <c r="A26" s="17">
        <v>2016.12</v>
      </c>
      <c r="B26" t="s">
        <v>17</v>
      </c>
      <c r="C26" s="17">
        <v>403.3</v>
      </c>
      <c r="D26" s="17">
        <v>92.1</v>
      </c>
      <c r="E26" s="17">
        <v>98.5</v>
      </c>
    </row>
    <row r="27" spans="1:8">
      <c r="A27" s="17">
        <v>2017.01</v>
      </c>
      <c r="B27" t="s">
        <v>18</v>
      </c>
      <c r="C27" s="17">
        <v>404.8</v>
      </c>
      <c r="D27" s="17">
        <v>87.4</v>
      </c>
      <c r="E27" s="17">
        <v>99.2</v>
      </c>
    </row>
    <row r="28" spans="1:8">
      <c r="A28" s="17"/>
      <c r="B28" t="s">
        <v>19</v>
      </c>
      <c r="C28" s="17">
        <v>405.1</v>
      </c>
      <c r="D28" s="17">
        <v>90.1</v>
      </c>
      <c r="E28" s="17">
        <v>100.1</v>
      </c>
      <c r="H28" s="1"/>
    </row>
    <row r="29" spans="1:8">
      <c r="A29" s="17">
        <v>2017.02</v>
      </c>
      <c r="B29" t="s">
        <v>20</v>
      </c>
      <c r="C29" s="17">
        <v>404.8</v>
      </c>
      <c r="D29" s="17">
        <v>89.8</v>
      </c>
      <c r="E29" s="17">
        <v>99.9</v>
      </c>
    </row>
    <row r="30" spans="1:8">
      <c r="A30" s="17">
        <v>2017.03</v>
      </c>
      <c r="B30" t="s">
        <v>21</v>
      </c>
      <c r="C30" s="17">
        <v>404.8</v>
      </c>
      <c r="D30" s="17">
        <v>91</v>
      </c>
      <c r="E30" s="17">
        <v>99.9</v>
      </c>
    </row>
    <row r="31" spans="1:8">
      <c r="A31" s="17">
        <v>2017.04</v>
      </c>
      <c r="B31" t="s">
        <v>22</v>
      </c>
      <c r="C31" s="17">
        <v>405.6</v>
      </c>
      <c r="D31" s="17">
        <v>89.6</v>
      </c>
      <c r="E31" s="17">
        <v>100.6</v>
      </c>
    </row>
    <row r="32" spans="1:8">
      <c r="A32" s="17"/>
      <c r="B32" t="s">
        <v>23</v>
      </c>
      <c r="C32" s="17">
        <v>410.6</v>
      </c>
      <c r="D32" s="17">
        <v>93.4</v>
      </c>
      <c r="E32" s="17">
        <v>100.9</v>
      </c>
    </row>
    <row r="33" spans="1:5">
      <c r="A33" s="17">
        <v>2017.05</v>
      </c>
      <c r="B33" t="s">
        <v>24</v>
      </c>
      <c r="C33" s="17">
        <v>408.6</v>
      </c>
      <c r="D33" s="17">
        <v>92.3</v>
      </c>
      <c r="E33" s="17">
        <v>100.9</v>
      </c>
    </row>
    <row r="34" spans="1:5">
      <c r="A34" s="17">
        <v>2017.06</v>
      </c>
      <c r="B34" t="s">
        <v>25</v>
      </c>
      <c r="C34" s="17">
        <v>411.7</v>
      </c>
      <c r="D34" s="17">
        <v>92.7</v>
      </c>
      <c r="E34" s="17">
        <v>100.9</v>
      </c>
    </row>
    <row r="35" spans="1:5">
      <c r="A35" s="17">
        <v>2017.07</v>
      </c>
      <c r="B35" t="s">
        <v>26</v>
      </c>
      <c r="C35" s="17">
        <v>411.6</v>
      </c>
      <c r="D35" s="17">
        <v>95.1</v>
      </c>
      <c r="E35" s="17">
        <v>100.9</v>
      </c>
    </row>
    <row r="36" spans="1:5">
      <c r="A36" s="17"/>
      <c r="B36" t="s">
        <v>27</v>
      </c>
      <c r="C36" s="17">
        <v>426.7</v>
      </c>
      <c r="D36" s="17">
        <v>100</v>
      </c>
      <c r="E36" s="17">
        <v>100</v>
      </c>
    </row>
    <row r="37" spans="1:5">
      <c r="A37" s="17"/>
      <c r="B37" t="s">
        <v>11</v>
      </c>
      <c r="C37" s="17">
        <v>413.2</v>
      </c>
      <c r="D37" s="17">
        <v>94.1</v>
      </c>
      <c r="E37" s="17">
        <v>99.2</v>
      </c>
    </row>
    <row r="38" spans="1:5">
      <c r="A38" s="17">
        <v>2017.08</v>
      </c>
      <c r="B38" t="s">
        <v>12</v>
      </c>
      <c r="C38" s="17">
        <v>411.7</v>
      </c>
      <c r="D38" s="17">
        <v>94.2</v>
      </c>
      <c r="E38" s="17">
        <v>99.2</v>
      </c>
    </row>
    <row r="39" spans="1:5">
      <c r="A39" s="17">
        <v>2017.09</v>
      </c>
      <c r="B39" t="s">
        <v>13</v>
      </c>
      <c r="C39" s="17">
        <v>411.7</v>
      </c>
      <c r="D39" s="17">
        <v>94.2</v>
      </c>
      <c r="E39" s="17">
        <v>99.2</v>
      </c>
    </row>
    <row r="40" spans="1:5">
      <c r="A40" s="17">
        <v>2017.1</v>
      </c>
      <c r="B40" t="s">
        <v>14</v>
      </c>
      <c r="C40" s="17">
        <v>416.1</v>
      </c>
      <c r="D40" s="17">
        <v>94.1</v>
      </c>
      <c r="E40" s="17">
        <v>99.2</v>
      </c>
    </row>
    <row r="41" spans="1:5">
      <c r="A41" s="17"/>
      <c r="B41" t="s">
        <v>15</v>
      </c>
      <c r="C41" s="17">
        <v>416.5</v>
      </c>
      <c r="D41" s="17">
        <v>96.4</v>
      </c>
      <c r="E41" s="17">
        <v>99.5</v>
      </c>
    </row>
    <row r="42" spans="1:5">
      <c r="A42" s="17">
        <v>2017.11</v>
      </c>
      <c r="B42" t="s">
        <v>16</v>
      </c>
      <c r="C42" s="17">
        <v>416.1</v>
      </c>
      <c r="D42" s="17">
        <v>95</v>
      </c>
      <c r="E42" s="17">
        <v>99.5</v>
      </c>
    </row>
    <row r="43" spans="1:5">
      <c r="A43" s="17">
        <v>2017.12</v>
      </c>
      <c r="B43" t="s">
        <v>17</v>
      </c>
      <c r="C43" s="17">
        <v>416.1</v>
      </c>
      <c r="D43" s="17">
        <v>96.2</v>
      </c>
      <c r="E43" s="17">
        <v>99.5</v>
      </c>
    </row>
    <row r="44" spans="1:5">
      <c r="A44" s="17">
        <v>2018.01</v>
      </c>
      <c r="B44" t="s">
        <v>18</v>
      </c>
      <c r="C44" s="17">
        <v>417.2</v>
      </c>
      <c r="D44" s="17">
        <v>98.1</v>
      </c>
      <c r="E44" s="17">
        <v>99.5</v>
      </c>
    </row>
    <row r="45" spans="1:5">
      <c r="A45" s="17"/>
      <c r="B45" t="s">
        <v>19</v>
      </c>
      <c r="C45" s="17">
        <v>433.3</v>
      </c>
      <c r="D45" s="17">
        <v>102.5</v>
      </c>
      <c r="E45" s="17">
        <v>100.6</v>
      </c>
    </row>
    <row r="46" spans="1:5">
      <c r="A46" s="17">
        <v>2018.02</v>
      </c>
      <c r="B46" t="s">
        <v>20</v>
      </c>
      <c r="C46" s="17">
        <v>424.7</v>
      </c>
      <c r="D46" s="17">
        <v>101.8</v>
      </c>
      <c r="E46" s="17">
        <v>100.6</v>
      </c>
    </row>
    <row r="47" spans="1:5">
      <c r="A47" s="17">
        <v>2018.03</v>
      </c>
      <c r="B47" t="s">
        <v>21</v>
      </c>
      <c r="C47" s="17">
        <v>437.4</v>
      </c>
      <c r="D47" s="17">
        <v>102.9</v>
      </c>
      <c r="E47" s="17">
        <v>100.6</v>
      </c>
    </row>
    <row r="48" spans="1:5">
      <c r="A48" s="17">
        <v>2018.04</v>
      </c>
      <c r="B48" t="s">
        <v>22</v>
      </c>
      <c r="C48" s="17">
        <v>437.9</v>
      </c>
      <c r="D48" s="17">
        <v>102.9</v>
      </c>
      <c r="E48" s="17">
        <v>100.6</v>
      </c>
    </row>
    <row r="49" spans="1:8">
      <c r="A49" s="17"/>
      <c r="B49" t="s">
        <v>23</v>
      </c>
      <c r="C49" s="17">
        <v>444</v>
      </c>
      <c r="D49" s="17">
        <v>106.9</v>
      </c>
      <c r="E49" s="17">
        <v>100.7</v>
      </c>
    </row>
    <row r="50" spans="1:8">
      <c r="A50" s="17">
        <v>2018.05</v>
      </c>
      <c r="B50" t="s">
        <v>24</v>
      </c>
      <c r="C50" s="17">
        <v>443</v>
      </c>
      <c r="D50" s="17">
        <v>105.9</v>
      </c>
      <c r="E50" s="17">
        <v>100.7</v>
      </c>
    </row>
    <row r="51" spans="1:8">
      <c r="A51" s="17">
        <v>2018.06</v>
      </c>
      <c r="B51" t="s">
        <v>25</v>
      </c>
      <c r="C51" s="17">
        <v>443</v>
      </c>
      <c r="D51" s="17">
        <v>106.6</v>
      </c>
      <c r="E51" s="17">
        <v>100.7</v>
      </c>
    </row>
    <row r="52" spans="1:8">
      <c r="A52" s="17">
        <v>2018.07</v>
      </c>
      <c r="B52" t="s">
        <v>26</v>
      </c>
      <c r="C52" s="17">
        <v>445.9</v>
      </c>
      <c r="D52" s="17">
        <v>108.2</v>
      </c>
      <c r="E52" s="17">
        <v>100.7</v>
      </c>
    </row>
    <row r="53" spans="1:8">
      <c r="A53" s="17"/>
      <c r="B53" t="s">
        <v>28</v>
      </c>
      <c r="C53" s="17">
        <v>467.8</v>
      </c>
      <c r="D53" s="17">
        <v>107.98669126690032</v>
      </c>
      <c r="E53" s="17">
        <v>103.84599759390447</v>
      </c>
      <c r="G53" s="17"/>
      <c r="H53" s="17"/>
    </row>
    <row r="54" spans="1:8">
      <c r="A54" s="17"/>
      <c r="B54" t="s">
        <v>11</v>
      </c>
      <c r="C54" s="17">
        <v>453.12593573141356</v>
      </c>
      <c r="D54" s="17">
        <v>108.26874500000001</v>
      </c>
      <c r="E54" s="17">
        <v>102.38489499999999</v>
      </c>
      <c r="G54" s="17"/>
      <c r="H54" s="17"/>
    </row>
    <row r="55" spans="1:8">
      <c r="A55" s="17">
        <v>2018.08</v>
      </c>
      <c r="B55" t="s">
        <v>12</v>
      </c>
      <c r="C55" s="17">
        <v>451.3</v>
      </c>
      <c r="D55" s="17">
        <v>107.93351</v>
      </c>
      <c r="E55" s="17">
        <v>102.384895</v>
      </c>
      <c r="G55" s="17"/>
      <c r="H55" s="17"/>
    </row>
    <row r="56" spans="1:8">
      <c r="A56" s="17">
        <v>2018.09</v>
      </c>
      <c r="B56" t="s">
        <v>13</v>
      </c>
      <c r="C56" s="17">
        <v>451.3</v>
      </c>
      <c r="D56" s="17">
        <v>108.40721000000001</v>
      </c>
      <c r="E56" s="17">
        <v>102.384895</v>
      </c>
      <c r="G56" s="17"/>
      <c r="H56" s="17"/>
    </row>
    <row r="57" spans="1:8">
      <c r="A57" s="17">
        <v>2018.1</v>
      </c>
      <c r="B57" t="s">
        <v>14</v>
      </c>
      <c r="C57" s="17">
        <v>456.8</v>
      </c>
      <c r="D57" s="17">
        <v>108.465515</v>
      </c>
      <c r="E57" s="17">
        <v>102.384895</v>
      </c>
      <c r="G57" s="17"/>
      <c r="H57" s="17"/>
    </row>
    <row r="58" spans="1:8">
      <c r="A58" s="17"/>
      <c r="B58" t="s">
        <v>15</v>
      </c>
      <c r="C58" s="17">
        <v>464.79997848228339</v>
      </c>
      <c r="D58" s="17">
        <v>107.92490333333335</v>
      </c>
      <c r="E58" s="17">
        <v>104.11818999999998</v>
      </c>
      <c r="G58" s="17"/>
      <c r="H58" s="17"/>
    </row>
    <row r="59" spans="1:8">
      <c r="A59" s="17">
        <v>2018.11</v>
      </c>
      <c r="B59" t="s">
        <v>16</v>
      </c>
      <c r="C59" s="17">
        <v>464.6</v>
      </c>
      <c r="D59" s="17">
        <v>107.98721</v>
      </c>
      <c r="E59" s="17">
        <v>104.11819</v>
      </c>
      <c r="G59" s="17"/>
      <c r="H59" s="17"/>
    </row>
    <row r="60" spans="1:8">
      <c r="A60" s="17">
        <v>2018.12</v>
      </c>
      <c r="B60" t="s">
        <v>17</v>
      </c>
      <c r="C60" s="17">
        <v>464.9</v>
      </c>
      <c r="D60" s="17">
        <v>107.89727000000001</v>
      </c>
      <c r="E60" s="17">
        <v>104.11819</v>
      </c>
      <c r="G60" s="17"/>
      <c r="H60" s="17"/>
    </row>
    <row r="61" spans="1:8">
      <c r="A61" s="17">
        <v>2019.01</v>
      </c>
      <c r="B61" t="s">
        <v>18</v>
      </c>
      <c r="C61" s="17">
        <v>464.9</v>
      </c>
      <c r="D61" s="17">
        <v>107.89023</v>
      </c>
      <c r="E61" s="17">
        <v>104.11819</v>
      </c>
      <c r="G61" s="17"/>
      <c r="H61" s="17"/>
    </row>
    <row r="62" spans="1:8">
      <c r="A62" s="17"/>
      <c r="B62" t="s">
        <v>19</v>
      </c>
      <c r="C62" s="17">
        <v>475.23273524399616</v>
      </c>
      <c r="D62" s="17">
        <v>107.165372</v>
      </c>
      <c r="E62" s="17">
        <v>104.40072000000002</v>
      </c>
      <c r="G62" s="17"/>
      <c r="H62" s="17"/>
    </row>
    <row r="63" spans="1:8">
      <c r="A63" s="17">
        <v>2019.02</v>
      </c>
      <c r="B63" t="s">
        <v>20</v>
      </c>
      <c r="C63" s="17">
        <v>474.7</v>
      </c>
      <c r="D63" s="17">
        <v>107.10903</v>
      </c>
      <c r="E63" s="17">
        <v>104.40072000000001</v>
      </c>
      <c r="G63" s="17"/>
      <c r="H63" s="17"/>
    </row>
    <row r="64" spans="1:8">
      <c r="A64" s="17">
        <v>2019.03</v>
      </c>
      <c r="B64" t="s">
        <v>21</v>
      </c>
      <c r="C64" s="17">
        <v>474.7</v>
      </c>
      <c r="D64" s="17">
        <v>107.217766</v>
      </c>
      <c r="E64" s="17">
        <v>104.40072000000001</v>
      </c>
      <c r="G64" s="17"/>
      <c r="H64" s="17"/>
    </row>
    <row r="65" spans="1:8">
      <c r="A65" s="17">
        <v>2019.04</v>
      </c>
      <c r="B65" t="s">
        <v>22</v>
      </c>
      <c r="C65" s="17">
        <v>476.3</v>
      </c>
      <c r="D65" s="17">
        <v>107.16932</v>
      </c>
      <c r="E65" s="17">
        <v>104.40072000000001</v>
      </c>
      <c r="G65" s="17"/>
      <c r="H65" s="17"/>
    </row>
    <row r="66" spans="1:8">
      <c r="A66" s="17"/>
      <c r="B66" t="s">
        <v>23</v>
      </c>
      <c r="C66" s="17">
        <v>476.49997901070384</v>
      </c>
      <c r="D66" s="17">
        <v>108.52858667347087</v>
      </c>
      <c r="E66" s="17">
        <v>104.49440999999993</v>
      </c>
      <c r="G66" s="17"/>
      <c r="H66" s="17"/>
    </row>
    <row r="67" spans="1:8">
      <c r="A67" s="17">
        <v>2019.05</v>
      </c>
      <c r="B67" t="s">
        <v>24</v>
      </c>
      <c r="C67" s="17">
        <v>476.3</v>
      </c>
      <c r="D67" s="17">
        <v>108.4</v>
      </c>
      <c r="E67" s="17">
        <v>104.49441</v>
      </c>
      <c r="G67" s="17"/>
      <c r="H67" s="17"/>
    </row>
    <row r="68" spans="1:8">
      <c r="A68" s="17">
        <v>2019.06</v>
      </c>
      <c r="B68" t="s">
        <v>25</v>
      </c>
      <c r="C68" s="17">
        <v>476.6</v>
      </c>
      <c r="D68" s="17">
        <v>108.51526</v>
      </c>
      <c r="E68" s="17">
        <v>104.49441</v>
      </c>
      <c r="G68" s="17"/>
      <c r="H68" s="17"/>
    </row>
    <row r="69" spans="1:8">
      <c r="A69" s="17">
        <v>2019.07</v>
      </c>
      <c r="B69" t="s">
        <v>26</v>
      </c>
      <c r="C69" s="17">
        <v>476.6</v>
      </c>
      <c r="D69" s="17">
        <v>108.67067</v>
      </c>
      <c r="E69" s="17">
        <v>104.49441</v>
      </c>
      <c r="G69" s="17"/>
      <c r="H69" s="17"/>
    </row>
    <row r="70" spans="1:8">
      <c r="A70" s="17"/>
      <c r="B70" t="s">
        <v>29</v>
      </c>
      <c r="C70" s="17">
        <v>498.52618092064</v>
      </c>
      <c r="D70" s="17">
        <v>103.808264367294</v>
      </c>
      <c r="E70" s="17">
        <v>107.47898168151205</v>
      </c>
      <c r="G70" s="17"/>
      <c r="H70" s="17"/>
    </row>
    <row r="71" spans="1:8">
      <c r="A71" s="17"/>
      <c r="B71" t="s">
        <v>11</v>
      </c>
      <c r="C71" s="17">
        <v>495.14331072090181</v>
      </c>
      <c r="D71" s="17">
        <v>106.13954400236041</v>
      </c>
      <c r="E71" s="17">
        <v>107.11339000000001</v>
      </c>
      <c r="G71" s="17"/>
      <c r="H71" s="17"/>
    </row>
    <row r="72" spans="1:8">
      <c r="A72" s="17">
        <v>2019.08</v>
      </c>
      <c r="B72" t="s">
        <v>12</v>
      </c>
      <c r="C72" s="17">
        <v>494.830080854051</v>
      </c>
      <c r="D72" s="17">
        <v>106.58741999999999</v>
      </c>
      <c r="E72" s="17">
        <v>107.11339</v>
      </c>
      <c r="G72" s="17"/>
      <c r="H72" s="17"/>
    </row>
    <row r="73" spans="1:8">
      <c r="A73" s="17">
        <v>2019.09</v>
      </c>
      <c r="B73" t="s">
        <v>13</v>
      </c>
      <c r="C73" s="17">
        <v>495.3</v>
      </c>
      <c r="D73" s="17">
        <v>105.98266</v>
      </c>
      <c r="E73" s="17">
        <v>107.11339</v>
      </c>
      <c r="G73" s="17"/>
      <c r="H73" s="17"/>
    </row>
    <row r="74" spans="1:8">
      <c r="A74" s="17">
        <v>2019.1</v>
      </c>
      <c r="B74" t="s">
        <v>14</v>
      </c>
      <c r="C74" s="17">
        <v>495.3</v>
      </c>
      <c r="D74" s="17">
        <v>105.85000599999999</v>
      </c>
      <c r="E74" s="17">
        <v>107.11339</v>
      </c>
      <c r="G74" s="17"/>
      <c r="H74" s="17"/>
    </row>
    <row r="75" spans="1:8">
      <c r="A75" s="17"/>
      <c r="B75" t="s">
        <v>15</v>
      </c>
      <c r="C75" s="17">
        <v>500.55861349773369</v>
      </c>
      <c r="D75" s="17">
        <v>103.15964682639706</v>
      </c>
      <c r="E75" s="17">
        <v>107.38750499999999</v>
      </c>
      <c r="G75" s="17"/>
      <c r="H75" s="17"/>
    </row>
    <row r="76" spans="1:8">
      <c r="A76" s="17">
        <v>2019.11</v>
      </c>
      <c r="B76" t="s">
        <v>16</v>
      </c>
      <c r="C76" s="17">
        <v>500</v>
      </c>
      <c r="D76" s="17">
        <v>104.74215</v>
      </c>
      <c r="E76" s="17">
        <v>107.387505</v>
      </c>
      <c r="G76" s="17"/>
      <c r="H76" s="17"/>
    </row>
    <row r="77" spans="1:8">
      <c r="A77" s="17">
        <v>2019.12</v>
      </c>
      <c r="B77" t="s">
        <v>17</v>
      </c>
      <c r="C77" s="17">
        <v>500.8381542398198</v>
      </c>
      <c r="D77" s="17">
        <v>102.328766</v>
      </c>
      <c r="E77" s="17">
        <v>107.387505</v>
      </c>
      <c r="G77" s="17"/>
      <c r="H77" s="17"/>
    </row>
    <row r="78" spans="1:8">
      <c r="A78" s="17">
        <v>2020.01</v>
      </c>
      <c r="B78" t="s">
        <v>18</v>
      </c>
      <c r="C78" s="17">
        <v>500.8381542398198</v>
      </c>
      <c r="D78" s="17">
        <v>102.426025</v>
      </c>
      <c r="E78" s="17">
        <v>107.387505</v>
      </c>
      <c r="G78" s="17"/>
      <c r="H78" s="17"/>
    </row>
    <row r="79" spans="1:8">
      <c r="A79" s="17"/>
      <c r="B79" t="s">
        <v>19</v>
      </c>
      <c r="C79" s="17">
        <v>500.83815423981963</v>
      </c>
      <c r="D79" s="17">
        <v>103.06978106974678</v>
      </c>
      <c r="E79" s="17">
        <v>107.67621599999995</v>
      </c>
      <c r="G79" s="17"/>
      <c r="H79" s="17"/>
    </row>
    <row r="80" spans="1:8">
      <c r="A80" s="17">
        <v>2020.02</v>
      </c>
      <c r="B80" t="s">
        <v>20</v>
      </c>
      <c r="C80" s="17">
        <v>500.8381542398198</v>
      </c>
      <c r="D80" s="17">
        <v>102.93785</v>
      </c>
      <c r="E80" s="17">
        <v>107.676216</v>
      </c>
      <c r="G80" s="17"/>
      <c r="H80" s="17"/>
    </row>
    <row r="81" spans="1:8">
      <c r="A81" s="17">
        <v>2020.03</v>
      </c>
      <c r="B81" t="s">
        <v>21</v>
      </c>
      <c r="C81" s="17">
        <v>500.8381542398198</v>
      </c>
      <c r="D81" s="17">
        <v>103.13581000000001</v>
      </c>
      <c r="E81" s="17">
        <v>107.676216</v>
      </c>
      <c r="G81" s="17"/>
      <c r="H81" s="17"/>
    </row>
    <row r="82" spans="1:8">
      <c r="A82" s="17">
        <v>2020.04</v>
      </c>
      <c r="B82" t="s">
        <v>22</v>
      </c>
      <c r="C82" s="17">
        <v>500.8381542398198</v>
      </c>
      <c r="D82" s="17">
        <v>103.13581000000001</v>
      </c>
      <c r="E82" s="17">
        <v>107.676216</v>
      </c>
      <c r="G82" s="17"/>
      <c r="H82" s="17"/>
    </row>
    <row r="83" spans="1:8">
      <c r="A83" s="17"/>
      <c r="B83" t="s">
        <v>23</v>
      </c>
      <c r="C83" s="17">
        <v>497.58653798254153</v>
      </c>
      <c r="D83" s="17">
        <v>102.89856111084701</v>
      </c>
      <c r="E83" s="17">
        <v>107.73997499999992</v>
      </c>
      <c r="G83" s="17"/>
      <c r="H83" s="17"/>
    </row>
    <row r="84" spans="1:8">
      <c r="A84" s="17">
        <v>2020.05</v>
      </c>
      <c r="B84" t="s">
        <v>24</v>
      </c>
      <c r="C84" s="17">
        <v>500.8381542398198</v>
      </c>
      <c r="D84" s="17">
        <v>102.75022</v>
      </c>
      <c r="E84" s="17">
        <v>107.739975</v>
      </c>
      <c r="G84" s="17"/>
      <c r="H84" s="17"/>
    </row>
    <row r="85" spans="1:8">
      <c r="A85" s="17">
        <v>2020.06</v>
      </c>
      <c r="B85" t="s">
        <v>25</v>
      </c>
      <c r="C85" s="17">
        <v>495.96865492666547</v>
      </c>
      <c r="D85" s="17">
        <v>103.44945</v>
      </c>
      <c r="E85" s="17">
        <v>107.739975</v>
      </c>
      <c r="G85" s="17"/>
      <c r="H85" s="17"/>
    </row>
    <row r="86" spans="1:8">
      <c r="A86" s="17">
        <v>2020.07</v>
      </c>
      <c r="B86" t="s">
        <v>26</v>
      </c>
      <c r="C86" s="17">
        <v>495.96865492666547</v>
      </c>
      <c r="D86" s="17">
        <v>102.49836999999999</v>
      </c>
      <c r="E86" s="17">
        <v>107.739975</v>
      </c>
      <c r="G86" s="17"/>
      <c r="H86" s="17"/>
    </row>
    <row r="87" spans="1:8">
      <c r="A87" s="17"/>
      <c r="B87" t="s">
        <v>30</v>
      </c>
      <c r="C87" s="17">
        <v>508.17862560528454</v>
      </c>
      <c r="D87" s="17">
        <v>107.64860615132841</v>
      </c>
      <c r="E87" s="17">
        <v>113.03394940978926</v>
      </c>
      <c r="G87" s="17"/>
      <c r="H87" s="17"/>
    </row>
    <row r="88" spans="1:8">
      <c r="A88" s="17"/>
      <c r="B88" t="s">
        <v>11</v>
      </c>
      <c r="C88" s="17">
        <v>498.89708734700673</v>
      </c>
      <c r="D88" s="17">
        <v>103.80737161799628</v>
      </c>
      <c r="E88" s="17">
        <v>112.19695000000003</v>
      </c>
      <c r="G88" s="17"/>
      <c r="H88" s="17"/>
    </row>
    <row r="89" spans="1:8">
      <c r="A89" s="17">
        <v>2020.08</v>
      </c>
      <c r="B89" t="s">
        <v>12</v>
      </c>
      <c r="C89" s="17">
        <v>499.06855291105023</v>
      </c>
      <c r="D89" s="17">
        <v>104.10543</v>
      </c>
      <c r="E89" s="17">
        <v>112.19695</v>
      </c>
      <c r="G89" s="17"/>
      <c r="H89" s="17"/>
    </row>
    <row r="90" spans="1:8">
      <c r="A90" s="17">
        <v>2020.09</v>
      </c>
      <c r="B90" t="s">
        <v>13</v>
      </c>
      <c r="C90" s="17">
        <v>498.81137665773389</v>
      </c>
      <c r="D90" s="17">
        <v>103.72685</v>
      </c>
      <c r="E90" s="17">
        <v>112.19695</v>
      </c>
      <c r="G90" s="17"/>
      <c r="H90" s="17"/>
    </row>
    <row r="91" spans="1:8">
      <c r="A91" s="17">
        <v>2020.1</v>
      </c>
      <c r="B91" t="s">
        <v>14</v>
      </c>
      <c r="C91" s="17">
        <v>498.81137665773389</v>
      </c>
      <c r="D91" s="17">
        <v>103.59052</v>
      </c>
      <c r="E91" s="17">
        <v>112.19695</v>
      </c>
      <c r="G91" s="17"/>
      <c r="H91" s="17"/>
    </row>
    <row r="92" spans="1:8">
      <c r="A92" s="17"/>
      <c r="B92" t="s">
        <v>15</v>
      </c>
      <c r="C92" s="17">
        <v>502.93835782771362</v>
      </c>
      <c r="D92" s="17">
        <v>105.56151836739436</v>
      </c>
      <c r="E92" s="17">
        <v>112.74574999999994</v>
      </c>
      <c r="G92" s="17"/>
      <c r="H92" s="17"/>
    </row>
    <row r="93" spans="1:8">
      <c r="A93" s="17">
        <v>2020.11</v>
      </c>
      <c r="B93" t="s">
        <v>16</v>
      </c>
      <c r="C93" s="17">
        <v>498.81137665773389</v>
      </c>
      <c r="D93" s="17">
        <v>104.547195</v>
      </c>
      <c r="E93" s="17">
        <v>112.74575</v>
      </c>
      <c r="G93" s="17"/>
      <c r="H93" s="17"/>
    </row>
    <row r="94" spans="1:8">
      <c r="A94" s="17">
        <v>2020.12</v>
      </c>
      <c r="B94" t="s">
        <v>17</v>
      </c>
      <c r="C94" s="17">
        <v>500.96844064228122</v>
      </c>
      <c r="D94" s="17">
        <v>105.03371</v>
      </c>
      <c r="E94" s="17">
        <v>112.74575</v>
      </c>
      <c r="G94" s="17"/>
      <c r="H94" s="17"/>
    </row>
    <row r="95" spans="1:8">
      <c r="A95" s="17">
        <v>2021.01</v>
      </c>
      <c r="B95" t="s">
        <v>18</v>
      </c>
      <c r="C95" s="17">
        <v>509.09350990196276</v>
      </c>
      <c r="D95" s="17">
        <v>107.12129</v>
      </c>
      <c r="E95" s="17">
        <v>112.74575</v>
      </c>
      <c r="G95" s="17"/>
      <c r="H95" s="17"/>
    </row>
    <row r="96" spans="1:8">
      <c r="A96" s="17"/>
      <c r="B96" t="s">
        <v>19</v>
      </c>
      <c r="C96" s="17">
        <v>513.66900544888472</v>
      </c>
      <c r="D96" s="17">
        <v>108.95081799538883</v>
      </c>
      <c r="E96" s="17">
        <v>113.51199999999994</v>
      </c>
      <c r="G96" s="17"/>
      <c r="H96" s="17"/>
    </row>
    <row r="97" spans="1:8">
      <c r="A97" s="17">
        <v>2021.02</v>
      </c>
      <c r="B97" t="s">
        <v>20</v>
      </c>
      <c r="C97" s="17">
        <v>511.96033470711359</v>
      </c>
      <c r="D97" s="17">
        <v>109.37220000000001</v>
      </c>
      <c r="E97" s="17">
        <v>113.512</v>
      </c>
      <c r="G97" s="17"/>
      <c r="H97" s="17"/>
    </row>
    <row r="98" spans="1:8">
      <c r="A98" s="17">
        <v>2021.03</v>
      </c>
      <c r="B98" t="s">
        <v>21</v>
      </c>
      <c r="C98" s="17">
        <v>514.52547814384309</v>
      </c>
      <c r="D98" s="17">
        <v>108.20650000000001</v>
      </c>
      <c r="E98" s="17">
        <v>113.512</v>
      </c>
      <c r="G98" s="17"/>
      <c r="H98" s="17"/>
    </row>
    <row r="99" spans="1:8">
      <c r="A99" s="17">
        <v>2021.04</v>
      </c>
      <c r="B99" t="s">
        <v>22</v>
      </c>
      <c r="C99" s="17">
        <v>514.52547814384309</v>
      </c>
      <c r="D99" s="17">
        <v>109.27761</v>
      </c>
      <c r="E99" s="17">
        <v>113.512</v>
      </c>
      <c r="G99" s="17"/>
      <c r="H99" s="17"/>
    </row>
    <row r="100" spans="1:8">
      <c r="A100" s="17"/>
      <c r="B100" t="s">
        <v>23</v>
      </c>
      <c r="C100" s="17">
        <v>517.43581782750221</v>
      </c>
      <c r="D100" s="17">
        <v>112.47845053565939</v>
      </c>
      <c r="E100" s="17">
        <v>113.68746999999991</v>
      </c>
      <c r="G100" s="17"/>
      <c r="H100" s="17"/>
    </row>
    <row r="101" spans="1:8">
      <c r="A101" s="17">
        <v>2021.05</v>
      </c>
      <c r="B101" t="s">
        <v>24</v>
      </c>
      <c r="C101" s="17">
        <v>514.52547814384309</v>
      </c>
      <c r="D101" s="17">
        <v>111.41915</v>
      </c>
      <c r="E101" s="17">
        <v>113.68747</v>
      </c>
      <c r="G101" s="17"/>
      <c r="H101" s="17"/>
    </row>
    <row r="102" spans="1:8">
      <c r="A102" s="17">
        <v>2021.06</v>
      </c>
      <c r="B102" t="s">
        <v>25</v>
      </c>
      <c r="C102" s="17">
        <v>515.84706404692679</v>
      </c>
      <c r="D102" s="17">
        <v>111.89505</v>
      </c>
      <c r="E102" s="17">
        <v>113.68747</v>
      </c>
      <c r="G102" s="17"/>
      <c r="H102" s="17"/>
    </row>
    <row r="103" spans="1:8">
      <c r="A103" s="17">
        <v>2021.07</v>
      </c>
      <c r="B103" t="s">
        <v>26</v>
      </c>
      <c r="C103" s="17">
        <v>521.96528063896278</v>
      </c>
      <c r="D103" s="17">
        <v>114.13984000000001</v>
      </c>
      <c r="E103" s="17">
        <v>113.68747</v>
      </c>
      <c r="H103" s="17"/>
    </row>
    <row r="104" spans="1:8">
      <c r="A104" s="17"/>
      <c r="B104" t="s">
        <v>62</v>
      </c>
      <c r="C104" s="17"/>
      <c r="D104" s="17"/>
      <c r="E104" s="17"/>
    </row>
    <row r="105" spans="1:8">
      <c r="A105" s="17"/>
      <c r="B105" t="s">
        <v>11</v>
      </c>
      <c r="C105" s="17"/>
      <c r="D105" s="17"/>
      <c r="E105" s="17"/>
    </row>
    <row r="106" spans="1:8">
      <c r="A106" s="17">
        <v>2021.08</v>
      </c>
      <c r="B106" t="s">
        <v>12</v>
      </c>
      <c r="C106" s="17">
        <v>523.74690026221117</v>
      </c>
      <c r="D106" s="17">
        <v>116.11561</v>
      </c>
      <c r="E106" s="17">
        <v>120.54096</v>
      </c>
    </row>
    <row r="107" spans="1:8">
      <c r="A107" s="17">
        <v>2021.09</v>
      </c>
      <c r="B107" t="s">
        <v>13</v>
      </c>
      <c r="C107" s="17">
        <v>523.74690026221117</v>
      </c>
      <c r="D107" s="17">
        <v>116.20729</v>
      </c>
      <c r="E107" s="17">
        <v>120.54096</v>
      </c>
    </row>
    <row r="108" spans="1:8">
      <c r="A108" s="17">
        <v>2021.1</v>
      </c>
      <c r="B108" t="s">
        <v>14</v>
      </c>
      <c r="C108" s="17">
        <v>523.74690026221117</v>
      </c>
      <c r="D108" s="17">
        <v>116.35791</v>
      </c>
      <c r="E108" s="17">
        <v>120.54096</v>
      </c>
    </row>
    <row r="109" spans="1:8">
      <c r="A109" s="17"/>
      <c r="B109" t="s">
        <v>15</v>
      </c>
      <c r="C109" s="17"/>
      <c r="D109" s="17"/>
      <c r="E109" s="17"/>
    </row>
    <row r="110" spans="1:8">
      <c r="A110" s="17">
        <v>2021.11</v>
      </c>
      <c r="B110" t="s">
        <v>16</v>
      </c>
      <c r="C110" s="17">
        <v>524.63804289344193</v>
      </c>
      <c r="D110" s="17">
        <v>125.55852</v>
      </c>
      <c r="E110" s="17">
        <v>122.78874</v>
      </c>
    </row>
    <row r="111" spans="1:8">
      <c r="A111" s="17">
        <v>2021.12</v>
      </c>
      <c r="B111" t="s">
        <v>17</v>
      </c>
      <c r="C111" s="17">
        <v>526.8947436082924</v>
      </c>
      <c r="D111" s="17">
        <v>125.35019</v>
      </c>
      <c r="E111" s="17">
        <v>122.78874</v>
      </c>
    </row>
    <row r="112" spans="1:8">
      <c r="A112" s="17">
        <v>2022.01</v>
      </c>
      <c r="B112" t="s">
        <v>18</v>
      </c>
      <c r="C112" s="17">
        <v>526.8947436082924</v>
      </c>
      <c r="D112" s="17">
        <v>125.87631</v>
      </c>
      <c r="E112" s="17">
        <v>122.78874</v>
      </c>
    </row>
    <row r="113" spans="1:5">
      <c r="A113" s="17"/>
      <c r="B113" t="s">
        <v>19</v>
      </c>
      <c r="C113" s="17"/>
      <c r="D113" s="17"/>
      <c r="E113" s="17"/>
    </row>
    <row r="114" spans="1:5">
      <c r="A114" s="17">
        <v>2022.02</v>
      </c>
      <c r="B114" t="s">
        <v>20</v>
      </c>
      <c r="C114" s="17">
        <v>526.8947436082924</v>
      </c>
      <c r="D114" s="17">
        <v>127.536804</v>
      </c>
      <c r="E114" s="17">
        <v>122.931854</v>
      </c>
    </row>
    <row r="115" spans="1:5">
      <c r="A115" s="17">
        <v>2022.03</v>
      </c>
      <c r="B115" t="s">
        <v>21</v>
      </c>
      <c r="C115" s="17"/>
      <c r="D115" s="17"/>
      <c r="E115" s="17"/>
    </row>
    <row r="116" spans="1:5">
      <c r="A116" s="17">
        <v>2022.04</v>
      </c>
      <c r="B116" t="s">
        <v>22</v>
      </c>
      <c r="C116" s="17"/>
      <c r="D116" s="17"/>
      <c r="E116" s="17"/>
    </row>
    <row r="117" spans="1:5">
      <c r="A117" s="17"/>
      <c r="B117" t="s">
        <v>23</v>
      </c>
      <c r="C117" s="17"/>
      <c r="D117" s="17"/>
      <c r="E117" s="17"/>
    </row>
    <row r="118" spans="1:5">
      <c r="A118" s="17">
        <v>2022.05</v>
      </c>
      <c r="B118" t="s">
        <v>24</v>
      </c>
      <c r="C118" s="17"/>
      <c r="D118" s="17"/>
      <c r="E118" s="17"/>
    </row>
    <row r="119" spans="1:5">
      <c r="A119" s="17">
        <v>2022.06</v>
      </c>
      <c r="B119" t="s">
        <v>25</v>
      </c>
      <c r="C119" s="17"/>
      <c r="D119" s="17"/>
      <c r="E119" s="17"/>
    </row>
    <row r="120" spans="1:5">
      <c r="A120" s="17">
        <v>2022.07</v>
      </c>
      <c r="B120" t="s">
        <v>26</v>
      </c>
      <c r="C120" s="17"/>
      <c r="D120" s="17"/>
      <c r="E120" s="17"/>
    </row>
  </sheetData>
  <conditionalFormatting sqref="A2:E120">
    <cfRule type="expression" dxfId="3" priority="3">
      <formula>RIGHT($B2,3)="Qtr"</formula>
    </cfRule>
    <cfRule type="expression" dxfId="2" priority="4">
      <formula>OR(LEFT($B2,1)="2", LEFT($B2,1)="1")</formula>
    </cfRule>
  </conditionalFormatting>
  <conditionalFormatting sqref="A104:E104">
    <cfRule type="expression" dxfId="1" priority="1">
      <formula>RIGHT($B104,3)="Qtr"</formula>
    </cfRule>
    <cfRule type="expression" dxfId="0" priority="2">
      <formula>OR(LEFT($B104,1)="2", LEFT($B104,1)="1")</formula>
    </cfRule>
  </conditionalFormatting>
  <pageMargins left="0.7" right="0.7" top="0.75" bottom="0.75" header="0.3" footer="0.3"/>
  <pageSetup orientation="portrait" horizontalDpi="1200" verticalDpi="12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16</vt:i4>
      </vt:variant>
    </vt:vector>
  </HeadingPairs>
  <TitlesOfParts>
    <vt:vector size="19" baseType="lpstr">
      <vt:lpstr>BS</vt:lpstr>
      <vt:lpstr>AD</vt:lpstr>
      <vt:lpstr>Indices</vt:lpstr>
      <vt:lpstr>AD!a</vt:lpstr>
      <vt:lpstr>a</vt:lpstr>
      <vt:lpstr>AD!b</vt:lpstr>
      <vt:lpstr>b</vt:lpstr>
      <vt:lpstr>AD!c_</vt:lpstr>
      <vt:lpstr>c_</vt:lpstr>
      <vt:lpstr>AD!d</vt:lpstr>
      <vt:lpstr>d</vt:lpstr>
      <vt:lpstr>AD!lo</vt:lpstr>
      <vt:lpstr>lo</vt:lpstr>
      <vt:lpstr>AD!mo</vt:lpstr>
      <vt:lpstr>mo</vt:lpstr>
      <vt:lpstr>AD!no</vt:lpstr>
      <vt:lpstr>no</vt:lpstr>
      <vt:lpstr>AD!Print_Area</vt:lpstr>
      <vt:lpstr>BS!Print_Area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Pragyan</dc:creator>
  <cp:lastModifiedBy>Pragyan</cp:lastModifiedBy>
  <cp:lastPrinted>2022-04-25T15:49:49Z</cp:lastPrinted>
  <dcterms:created xsi:type="dcterms:W3CDTF">2021-11-26T02:59:12Z</dcterms:created>
  <dcterms:modified xsi:type="dcterms:W3CDTF">2022-04-25T15:50:25Z</dcterms:modified>
</cp:coreProperties>
</file>