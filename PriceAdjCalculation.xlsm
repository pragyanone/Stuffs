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5DE3F25F-5222-4682-AE8D-0C6D61B0068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-BS" sheetId="5" r:id="rId1"/>
    <sheet name="IPC-AD" sheetId="11" r:id="rId2"/>
    <sheet name="Project-BS" sheetId="10" r:id="rId3"/>
    <sheet name="Project-AD" sheetId="12" r:id="rId4"/>
    <sheet name="Indices" sheetId="2" state="hidden" r:id="rId5"/>
  </sheets>
  <functionGroups builtInGroupCount="19"/>
  <definedNames>
    <definedName name="a" localSheetId="1">'IPC-AD'!$A$12</definedName>
    <definedName name="a" localSheetId="0">'IPC-BS'!$A$12</definedName>
    <definedName name="amount" localSheetId="1">projectTable[Amount Paid on
Completion (w/o VAT)]</definedName>
    <definedName name="amount" localSheetId="3">projectTable6[Amount Paid on
Completion (w/o VAT)]</definedName>
    <definedName name="amount">projectTable[Amount Paid on
Completion (w/o VAT)]</definedName>
    <definedName name="b" localSheetId="1">'IPC-AD'!$B$12</definedName>
    <definedName name="b" localSheetId="0">'IPC-BS'!$B$12</definedName>
    <definedName name="c_" localSheetId="1">'IPC-AD'!$C$12</definedName>
    <definedName name="c_" localSheetId="0">'IPC-BS'!$C$12</definedName>
    <definedName name="completionDate" localSheetId="1">projectTable[Actual Date
of Completion]</definedName>
    <definedName name="completionDate" localSheetId="3">projectTable6[Actual Date
of Completion]</definedName>
    <definedName name="completionDate">projectTable[Actual Date
of Completion]</definedName>
    <definedName name="d" localSheetId="1">'IPC-AD'!$D$12</definedName>
    <definedName name="d" localSheetId="0">'IPC-BS'!$D$12</definedName>
    <definedName name="dateType" localSheetId="1">'IPC-AD'!$Y$1</definedName>
    <definedName name="dateType">'IPC-BS'!$Y$1</definedName>
    <definedName name="dateType1" localSheetId="3">'Project-AD'!$Z$1</definedName>
    <definedName name="dateType1">'Project-BS'!$Z$1</definedName>
    <definedName name="IPCtable" localSheetId="1">'IPC-AD'!$C$15</definedName>
    <definedName name="IPCtable">'IPC-BS'!$C$15</definedName>
    <definedName name="lo" localSheetId="1">'IPC-AD'!$B$8</definedName>
    <definedName name="lo" localSheetId="0">'IPC-BS'!$B$8</definedName>
    <definedName name="mo" localSheetId="1">'IPC-AD'!$C$8</definedName>
    <definedName name="mo" localSheetId="0">'IPC-BS'!$C$8</definedName>
    <definedName name="no" localSheetId="1">'IPC-AD'!$D$8</definedName>
    <definedName name="no" localSheetId="0">'IPC-BS'!$D$8</definedName>
    <definedName name="originalIndex" localSheetId="1">projectTable[National Wholesale
Price Index (overall)]</definedName>
    <definedName name="originalIndex" localSheetId="3">projectTable6[National Wholesale
Price Index (overall)]</definedName>
    <definedName name="originalIndex">projectTable[National Wholesale
Price Index (overall)]</definedName>
    <definedName name="presentDate" localSheetId="3">'Project-AD'!$B$1</definedName>
    <definedName name="presentDate">'Project-BS'!$B$1</definedName>
    <definedName name="presentIndex" localSheetId="3">'Project-AD'!$B$3</definedName>
    <definedName name="presentIndex">'Project-BS'!$B$3</definedName>
    <definedName name="_xlnm.Print_Area" localSheetId="1">'IPC-AD'!$A$1:$I$24</definedName>
    <definedName name="_xlnm.Print_Area" localSheetId="0">'IPC-BS'!$A$1:$I$24</definedName>
    <definedName name="_xlnm.Print_Area" localSheetId="3">'Project-AD'!$A:$E</definedName>
    <definedName name="_xlnm.Print_Area" localSheetId="2">'Project-BS'!$A:$E</definedName>
    <definedName name="VAT" localSheetId="1">'IPC-AD'!$I$18</definedName>
    <definedName name="VAT" localSheetId="0">'IPC-BS'!$I$18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8" i="11" l="1"/>
  <c r="B1" i="12"/>
  <c r="D16" i="11"/>
  <c r="C17" i="11"/>
  <c r="D15" i="11"/>
  <c r="D17" i="11" s="1"/>
  <c r="E12" i="11"/>
  <c r="D16" i="5"/>
  <c r="C17" i="5"/>
  <c r="D15" i="5"/>
  <c r="E12" i="5"/>
  <c r="B8" i="5"/>
  <c r="D8" i="11"/>
  <c r="F16" i="11"/>
  <c r="F16" i="5"/>
  <c r="E15" i="5"/>
  <c r="C6" i="12"/>
  <c r="F15" i="11"/>
  <c r="E16" i="11"/>
  <c r="G16" i="5"/>
  <c r="C8" i="11"/>
  <c r="G16" i="11"/>
  <c r="F15" i="5"/>
  <c r="G15" i="5"/>
  <c r="C6" i="10"/>
  <c r="D8" i="5"/>
  <c r="G15" i="11"/>
  <c r="B8" i="11"/>
  <c r="E15" i="11"/>
  <c r="E16" i="5"/>
  <c r="C8" i="5"/>
  <c r="B2" i="12"/>
  <c r="B1" i="10"/>
  <c r="B3" i="12"/>
  <c r="E6" i="12" l="1"/>
  <c r="H16" i="11"/>
  <c r="I16" i="11" s="1"/>
  <c r="H15" i="11"/>
  <c r="I15" i="11" s="1"/>
  <c r="H16" i="5"/>
  <c r="I16" i="5" s="1"/>
  <c r="D17" i="5"/>
  <c r="H15" i="5"/>
  <c r="I15" i="5" s="1"/>
  <c r="B2" i="10"/>
  <c r="B3" i="10"/>
  <c r="I17" i="11" l="1"/>
  <c r="I19" i="11" s="1"/>
  <c r="E6" i="10"/>
  <c r="I17" i="5"/>
  <c r="I18" i="5" l="1"/>
  <c r="I1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00000000-0006-0000-00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2" authorId="0" shapeId="0" xr:uid="{00000000-0006-0000-00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00000000-0006-0000-0100-000001000000}">
      <text>
        <r>
          <rPr>
            <sz val="10"/>
            <color indexed="81"/>
            <rFont val="Tahoma"/>
            <family val="2"/>
          </rPr>
          <t>fill this</t>
        </r>
      </text>
    </comment>
    <comment ref="D12" authorId="0" shapeId="0" xr:uid="{00000000-0006-0000-0100-000002000000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sharedStrings.xml><?xml version="1.0" encoding="utf-8"?>
<sst xmlns="http://schemas.openxmlformats.org/spreadsheetml/2006/main" count="213" uniqueCount="92">
  <si>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</si>
  <si>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</si>
  <si>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</si>
  <si>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</si>
  <si>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</si>
  <si>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</si>
  <si>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</si>
  <si>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</si>
  <si>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</si>
  <si>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</si>
  <si>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</si>
  <si>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</si>
  <si>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</si>
  <si>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</si>
  <si>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</si>
  <si>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</si>
  <si>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</si>
  <si>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</si>
  <si>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</si>
  <si>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</si>
  <si>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</si>
  <si>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</si>
  <si>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</si>
  <si>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</si>
  <si>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</si>
  <si>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</si>
  <si>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</si>
  <si>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</si>
  <si>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</si>
  <si>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</si>
  <si>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</si>
  <si>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</si>
  <si>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</si>
  <si>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</si>
  <si>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</si>
  <si>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</si>
  <si>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</si>
  <si>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</si>
  <si>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</si>
  <si>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</si>
  <si>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</si>
  <si>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</si>
  <si>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</si>
  <si>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</si>
  <si>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</si>
  <si>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</si>
  <si>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</si>
  <si>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</si>
  <si>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</si>
  <si>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</si>
  <si>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</si>
  <si>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</si>
  <si>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</si>
  <si>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</si>
  <si>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</si>
  <si>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</si>
  <si>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</si>
  <si>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</si>
  <si>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</si>
  <si>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</si>
  <si>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</si>
  <si>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</si>
  <si>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</si>
  <si>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</si>
  <si>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</si>
  <si>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</si>
  <si>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</si>
  <si>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</si>
  <si>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</si>
  <si>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</si>
  <si>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</si>
  <si>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13% VAT</t>
  </si>
  <si>
    <t>GRAND TOTAL</t>
  </si>
  <si>
    <t>Overall</t>
  </si>
  <si>
    <t>2076-1-1</t>
  </si>
  <si>
    <t>2077-2-2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</si>
  <si>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</si>
  <si>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</si>
  <si>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</si>
  <si>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</si>
  <si>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</si>
  <si>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</si>
  <si>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</si>
  <si>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</si>
  <si>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</si>
  <si>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</si>
  <si>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Latest available data for
(upto 15th day of the month)</t>
  </si>
  <si>
    <t>2022-2-3</t>
  </si>
  <si>
    <t>2018-1-1</t>
  </si>
  <si>
    <t>2078-1-1</t>
  </si>
  <si>
    <t>2021-1-1</t>
  </si>
  <si>
    <t>2020-1-1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</si>
</sst>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3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  <family val="1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0" fillId="0" borderId="7" xfId="0" applyBorder="1"/>
    <xf numFmtId="0" fontId="0" fillId="0" borderId="1" xfId="0" applyBorder="1"/>
    <xf numFmtId="0" fontId="22" fillId="0" borderId="2" xfId="0" applyFont="1" applyBorder="1" applyAlignment="1">
      <alignment horizontal="center"/>
    </xf>
    <xf numFmtId="49" fontId="22" fillId="0" borderId="3" xfId="0" applyNumberFormat="1" applyFont="1" applyBorder="1" applyAlignment="1">
      <alignment horizontal="center" wrapText="1"/>
    </xf>
    <xf numFmtId="0" fontId="22" fillId="0" borderId="3" xfId="0" applyFont="1" applyBorder="1" applyAlignment="1">
      <alignment horizontal="center" wrapText="1"/>
    </xf>
    <xf numFmtId="0" fontId="0" fillId="0" borderId="1" xfId="0" applyBorder="1" applyAlignment="1">
      <alignment wrapText="1"/>
    </xf>
    <xf numFmtId="2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3" fontId="0" fillId="0" borderId="8" xfId="12" applyFont="1" applyBorder="1"/>
    <xf numFmtId="43" fontId="7" fillId="0" borderId="9" xfId="12" applyFont="1" applyBorder="1"/>
    <xf numFmtId="49" fontId="0" fillId="0" borderId="8" xfId="0" applyNumberFormat="1" applyBorder="1" applyAlignment="1">
      <alignment horizontal="center"/>
    </xf>
    <xf numFmtId="0" fontId="22" fillId="0" borderId="6" xfId="0" applyFont="1" applyBorder="1" applyAlignment="1">
      <alignment horizontal="center" wrapText="1"/>
    </xf>
    <xf numFmtId="2" fontId="0" fillId="0" borderId="8" xfId="0" applyNumberForma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Normal" xfId="0" builtinId="0"/>
    <cellStyle name="Normal 10" xfId="15" xr:uid="{00000000-0005-0000-0000-000011000000}"/>
    <cellStyle name="Normal 10 3 2" xfId="25" xr:uid="{00000000-0005-0000-0000-000012000000}"/>
    <cellStyle name="Normal 10 5" xfId="19" xr:uid="{00000000-0005-0000-0000-000013000000}"/>
    <cellStyle name="Normal 11" xfId="5" xr:uid="{00000000-0005-0000-0000-000014000000}"/>
    <cellStyle name="Normal 2" xfId="6" xr:uid="{00000000-0005-0000-0000-000015000000}"/>
    <cellStyle name="Normal 2 10" xfId="16" xr:uid="{00000000-0005-0000-0000-000016000000}"/>
    <cellStyle name="Normal 2 14" xfId="62" xr:uid="{00000000-0005-0000-0000-000017000000}"/>
    <cellStyle name="Normal 2 19" xfId="35" xr:uid="{00000000-0005-0000-0000-000018000000}"/>
    <cellStyle name="Normal 2 2 2 4" xfId="24" xr:uid="{00000000-0005-0000-0000-000019000000}"/>
    <cellStyle name="Normal 2 3" xfId="30" xr:uid="{00000000-0005-0000-0000-00001A000000}"/>
    <cellStyle name="Normal 2 4" xfId="7" xr:uid="{00000000-0005-0000-0000-00001B000000}"/>
    <cellStyle name="Normal 2 4 2" xfId="37" xr:uid="{00000000-0005-0000-0000-00001C000000}"/>
    <cellStyle name="Normal 2 5" xfId="66" xr:uid="{00000000-0005-0000-0000-00001D000000}"/>
    <cellStyle name="Normal 20" xfId="45" xr:uid="{00000000-0005-0000-0000-00001E000000}"/>
    <cellStyle name="Normal 21" xfId="46" xr:uid="{00000000-0005-0000-0000-00001F000000}"/>
    <cellStyle name="Normal 22" xfId="48" xr:uid="{00000000-0005-0000-0000-000020000000}"/>
    <cellStyle name="Normal 23" xfId="50" xr:uid="{00000000-0005-0000-0000-000021000000}"/>
    <cellStyle name="Normal 24" xfId="51" xr:uid="{00000000-0005-0000-0000-000022000000}"/>
    <cellStyle name="Normal 25" xfId="53" xr:uid="{00000000-0005-0000-0000-000023000000}"/>
    <cellStyle name="Normal 26" xfId="52" xr:uid="{00000000-0005-0000-0000-000024000000}"/>
    <cellStyle name="Normal 28" xfId="59" xr:uid="{00000000-0005-0000-0000-000025000000}"/>
    <cellStyle name="Normal 29 3 2" xfId="44" xr:uid="{00000000-0005-0000-0000-000026000000}"/>
    <cellStyle name="Normal 3" xfId="1" xr:uid="{00000000-0005-0000-0000-000027000000}"/>
    <cellStyle name="Normal 3 16 2" xfId="36" xr:uid="{00000000-0005-0000-0000-000028000000}"/>
    <cellStyle name="Normal 3 2" xfId="13" xr:uid="{00000000-0005-0000-0000-000029000000}"/>
    <cellStyle name="Normal 3 2 3" xfId="14" xr:uid="{00000000-0005-0000-0000-00002A000000}"/>
    <cellStyle name="Normal 3 6" xfId="20" xr:uid="{00000000-0005-0000-0000-00002B000000}"/>
    <cellStyle name="Normal 30" xfId="8" xr:uid="{00000000-0005-0000-0000-00002C000000}"/>
    <cellStyle name="Normal 31" xfId="55" xr:uid="{00000000-0005-0000-0000-00002D000000}"/>
    <cellStyle name="Normal 32 2" xfId="18" xr:uid="{00000000-0005-0000-0000-00002E000000}"/>
    <cellStyle name="Normal 33" xfId="9" xr:uid="{00000000-0005-0000-0000-00002F000000}"/>
    <cellStyle name="Normal 4" xfId="11" xr:uid="{00000000-0005-0000-0000-000030000000}"/>
    <cellStyle name="Normal 4 10" xfId="28" xr:uid="{00000000-0005-0000-0000-000031000000}"/>
    <cellStyle name="Normal 4 28" xfId="33" xr:uid="{00000000-0005-0000-0000-000032000000}"/>
    <cellStyle name="Normal 5" xfId="68" xr:uid="{00000000-0005-0000-0000-000033000000}"/>
    <cellStyle name="Normal 5 16" xfId="34" xr:uid="{00000000-0005-0000-0000-000034000000}"/>
    <cellStyle name="Normal 54" xfId="58" xr:uid="{00000000-0005-0000-0000-000035000000}"/>
    <cellStyle name="Normal 54 4" xfId="23" xr:uid="{00000000-0005-0000-0000-000036000000}"/>
    <cellStyle name="Normal 55 2" xfId="29" xr:uid="{00000000-0005-0000-0000-000037000000}"/>
    <cellStyle name="Normal 57 2" xfId="26" xr:uid="{00000000-0005-0000-0000-000038000000}"/>
    <cellStyle name="Normal 59" xfId="22" xr:uid="{00000000-0005-0000-0000-000039000000}"/>
    <cellStyle name="Normal 6" xfId="39" xr:uid="{00000000-0005-0000-0000-00003A000000}"/>
    <cellStyle name="Normal 6 2" xfId="54" xr:uid="{00000000-0005-0000-0000-00003B000000}"/>
    <cellStyle name="Normal 68" xfId="21" xr:uid="{00000000-0005-0000-0000-00003C000000}"/>
    <cellStyle name="Normal 69" xfId="32" xr:uid="{00000000-0005-0000-0000-00003D000000}"/>
    <cellStyle name="Normal 69 2" xfId="63" xr:uid="{00000000-0005-0000-0000-00003E000000}"/>
    <cellStyle name="Normal 7 10" xfId="38" xr:uid="{00000000-0005-0000-0000-00003F000000}"/>
    <cellStyle name="Normal 70" xfId="41" xr:uid="{00000000-0005-0000-0000-000040000000}"/>
    <cellStyle name="Normal 70 2" xfId="64" xr:uid="{00000000-0005-0000-0000-000041000000}"/>
    <cellStyle name="Normal 71" xfId="40" xr:uid="{00000000-0005-0000-0000-000042000000}"/>
    <cellStyle name="Normal 71 2" xfId="61" xr:uid="{00000000-0005-0000-0000-000043000000}"/>
    <cellStyle name="Percent 2" xfId="10" xr:uid="{00000000-0005-0000-0000-000044000000}"/>
    <cellStyle name="Percent 3 4" xfId="42" xr:uid="{00000000-0005-0000-0000-000045000000}"/>
  </cellStyles>
  <dxfs count="8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135</xdr:colOff>
      <xdr:row>9</xdr:row>
      <xdr:rowOff>188410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210" y="231248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5420</xdr:colOff>
      <xdr:row>10</xdr:row>
      <xdr:rowOff>9525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1495" y="2324100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295275</xdr:rowOff>
    </xdr:from>
    <xdr:ext cx="2876300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52925" y="485775"/>
          <a:ext cx="2876300" cy="561949"/>
        </a:xfrm>
        <a:prstGeom prst="rect">
          <a:avLst/>
        </a:prstGeom>
        <a:noFill/>
        <a:ln>
          <a:solidFill>
            <a:srgbClr val="FF000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Input dates in BS</a:t>
          </a: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1</xdr:row>
      <xdr:rowOff>276225</xdr:rowOff>
    </xdr:from>
    <xdr:ext cx="2884509" cy="56194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362450" y="466725"/>
          <a:ext cx="2884509" cy="561949"/>
        </a:xfrm>
        <a:prstGeom prst="rect">
          <a:avLst/>
        </a:prstGeom>
        <a:noFill/>
        <a:ln>
          <a:solidFill>
            <a:srgbClr val="00B0F0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n-US" sz="3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00B0F0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Input dates in AD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43" displayName="Table243" ref="A14:I17" totalsRowCount="1" headerRowDxfId="79" dataDxfId="77" totalsRowDxfId="75" headerRowBorderDxfId="78" tableBorderDxfId="76" totalsRowBorderDxfId="74">
  <tableColumns count="9">
    <tableColumn id="1" xr3:uid="{00000000-0010-0000-0000-000001000000}" name="IPC No." dataDxfId="17" totalsRowDxfId="16"/>
    <tableColumn id="2" xr3:uid="{00000000-0010-0000-0000-000002000000}" name="IPC Submisstion_x000a_Date" dataDxfId="15" totalsRowDxfId="14"/>
    <tableColumn id="10" xr3:uid="{00000000-0010-0000-0000-00000A000000}" name="IPC Amount" totalsRowFunction="sum" dataDxfId="13" totalsRowDxfId="12" dataCellStyle="Comma"/>
    <tableColumn id="11" xr3:uid="{00000000-0010-0000-0000-00000B000000}" name="IPC Amount_x000a_for Price Adj." totalsRowFunction="sum" dataDxfId="11" totalsRowDxfId="10" dataCellStyle="Comma">
      <calculatedColumnFormula>Table243[[#This Row],[IPC Amount]]</calculatedColumnFormula>
    </tableColumn>
    <tableColumn id="3" xr3:uid="{00000000-0010-0000-0000-000003000000}" name="l" dataDxfId="9" totalsRowDxfId="8">
      <calculatedColumnFormula>BSnrb(Table243[[#This Row],[IPC Submisstion
Date]],Table243[[#Headers],[l]])</calculatedColumnFormula>
    </tableColumn>
    <tableColumn id="4" xr3:uid="{00000000-0010-0000-0000-000004000000}" name="m" dataDxfId="7" totalsRowDxfId="6">
      <calculatedColumnFormula>BSnrb(Table243[[#This Row],[IPC Submisstion
Date]],Table243[[#Headers],[m]])</calculatedColumnFormula>
    </tableColumn>
    <tableColumn id="5" xr3:uid="{00000000-0010-0000-0000-000005000000}" name="n" dataDxfId="5" totalsRowDxfId="4">
      <calculatedColumnFormula>BSnrb(Table243[[#This Row],[IPC Submisstion
Date]],Table243[[#Headers],[n]])</calculatedColumnFormula>
    </tableColumn>
    <tableColumn id="6" xr3:uid="{00000000-0010-0000-0000-000006000000}" name="Price Adj._x000a_factor" totalsRowLabel="TOTAL" dataDxfId="3" totalsRowDxfId="2">
      <calculatedColumnFormula>a+
b*Table243[[#This Row],[l]]/lo+
c_*Table243[[#This Row],[m]]/mo+
d*Table243[[#This Row],[n]]/no</calculatedColumnFormula>
    </tableColumn>
    <tableColumn id="9" xr3:uid="{00000000-0010-0000-0000-000009000000}" name="Net Price Adj._x000a_Amount" totalsRowFunction="sum" dataDxfId="1" totalsRowDxfId="0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34" displayName="Table2434" ref="A14:I17" totalsRowCount="1" headerRowDxfId="71" dataDxfId="69" totalsRowDxfId="67" headerRowBorderDxfId="70" tableBorderDxfId="68" totalsRowBorderDxfId="66">
  <tableColumns count="9">
    <tableColumn id="1" xr3:uid="{00000000-0010-0000-0100-000001000000}" name="IPC No." dataDxfId="65" totalsRowDxfId="64"/>
    <tableColumn id="2" xr3:uid="{00000000-0010-0000-0100-000002000000}" name="IPC Submisstion_x000a_Date" dataDxfId="63" totalsRowDxfId="62"/>
    <tableColumn id="10" xr3:uid="{00000000-0010-0000-0100-00000A000000}" name="IPC Amount" totalsRowFunction="sum" dataDxfId="61" totalsRowDxfId="60" dataCellStyle="Comma"/>
    <tableColumn id="11" xr3:uid="{00000000-0010-0000-0100-00000B000000}" name="IPC Amount_x000a_for Price Adj." totalsRowFunction="sum" dataDxfId="59" totalsRowDxfId="58" dataCellStyle="Comma">
      <calculatedColumnFormula>Table2434[[#This Row],[IPC Amount]]</calculatedColumnFormula>
    </tableColumn>
    <tableColumn id="3" xr3:uid="{00000000-0010-0000-0100-000003000000}" name="l" dataDxfId="57" totalsRowDxfId="56">
      <calculatedColumnFormula>ADnrb(Table2434[[#This Row],[IPC Submisstion
Date]],Table2434[[#Headers],[l]])</calculatedColumnFormula>
    </tableColumn>
    <tableColumn id="4" xr3:uid="{00000000-0010-0000-0100-000004000000}" name="m" dataDxfId="55" totalsRowDxfId="54">
      <calculatedColumnFormula>ADnrb(Table2434[[#This Row],[IPC Submisstion
Date]],Table2434[[#Headers],[m]])</calculatedColumnFormula>
    </tableColumn>
    <tableColumn id="5" xr3:uid="{00000000-0010-0000-0100-000005000000}" name="n" dataDxfId="53" totalsRowDxfId="52">
      <calculatedColumnFormula>ADnrb(Table2434[[#This Row],[IPC Submisstion
Date]],Table2434[[#Headers],[n]])</calculatedColumnFormula>
    </tableColumn>
    <tableColumn id="6" xr3:uid="{00000000-0010-0000-0100-000006000000}" name="Price Adj._x000a_factor" totalsRowLabel="TOTAL" dataDxfId="51" totalsRowDxfId="50">
      <calculatedColumnFormula>a+
b*Table2434[[#This Row],[l]]/lo+
c_*Table2434[[#This Row],[m]]/mo+
d*Table2434[[#This Row],[n]]/no</calculatedColumnFormula>
    </tableColumn>
    <tableColumn id="9" xr3:uid="{00000000-0010-0000-0100-000009000000}" name="Net Price Adj._x000a_Amount" totalsRowFunction="sum" dataDxfId="49" totalsRowDxfId="48" dataCellStyle="Comma">
      <calculatedColumnFormula>(Table2434[[#This Row],[Price Adj.
factor]]-1) * Table2434[[#This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rojectTable" displayName="projectTable" ref="A5:E6" totalsRowShown="0" headerRowDxfId="47" headerRowBorderDxfId="46" tableBorderDxfId="45" totalsRowBorderDxfId="44">
  <autoFilter ref="A5:E6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Project" dataDxfId="43"/>
    <tableColumn id="2" xr3:uid="{00000000-0010-0000-0200-000002000000}" name="Actual Date_x000a_of Completion" dataDxfId="42"/>
    <tableColumn id="3" xr3:uid="{00000000-0010-0000-0200-000003000000}" name="National Wholesale_x000a_Price Index (overall)" dataDxfId="41">
      <calculatedColumnFormula>BSnrb(projectTable[[#This Row],[Actual Date
of Completion]],"o")</calculatedColumnFormula>
    </tableColumn>
    <tableColumn id="4" xr3:uid="{00000000-0010-0000-0200-000004000000}" name="Amount Paid on_x000a_Completion (w/o VAT)" dataDxfId="40" dataCellStyle="Comma"/>
    <tableColumn id="5" xr3:uid="{00000000-0010-0000-0200-000005000000}" name="Present Value_x000a_(w/o VAT)" dataDxfId="39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projectTable6" displayName="projectTable6" ref="A5:E6" totalsRowShown="0" headerRowDxfId="38" headerRowBorderDxfId="37" tableBorderDxfId="36" totalsRowBorderDxfId="35">
  <autoFilter ref="A5:E6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Project" dataDxfId="34"/>
    <tableColumn id="2" xr3:uid="{00000000-0010-0000-0300-000002000000}" name="Actual Date_x000a_of Completion" dataDxfId="33"/>
    <tableColumn id="3" xr3:uid="{00000000-0010-0000-0300-000003000000}" name="National Wholesale_x000a_Price Index (overall)" dataDxfId="32">
      <calculatedColumnFormula>ADnrb(projectTable6[[#This Row],[Actual Date
of Completion]],"o")</calculatedColumnFormula>
    </tableColumn>
    <tableColumn id="4" xr3:uid="{00000000-0010-0000-0300-000004000000}" name="Amount Paid on_x000a_Completion (w/o VAT)" dataDxfId="31" dataCellStyle="Comma"/>
    <tableColumn id="5" xr3:uid="{00000000-0010-0000-0300-000005000000}" name="Present Value_x000a_(w/o VAT)" dataDxfId="30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1" displayName="Table1" ref="A1:F120" totalsRowShown="0" headerRowDxfId="23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SN" dataDxfId="22"/>
    <tableColumn id="2" xr3:uid="{00000000-0010-0000-0400-000002000000}" name="Date"/>
    <tableColumn id="3" xr3:uid="{00000000-0010-0000-0400-000003000000}" name="Labour" dataDxfId="21"/>
    <tableColumn id="4" xr3:uid="{00000000-0010-0000-0400-000004000000}" name="Material" dataDxfId="20"/>
    <tableColumn id="5" xr3:uid="{00000000-0010-0000-0400-000005000000}" name="Equipment" dataDxfId="19"/>
    <tableColumn id="6" xr3:uid="{00000000-0010-0000-0400-000006000000}" name="Overall" dataDxfId="1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  <pageSetUpPr fitToPage="1"/>
  </sheetPr>
  <dimension ref="A1:AJ96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5" t="s">
        <v>55</v>
      </c>
      <c r="B1" s="55"/>
      <c r="C1" s="55"/>
      <c r="D1" s="55"/>
      <c r="E1" s="55"/>
      <c r="F1" s="55"/>
      <c r="G1" s="55"/>
      <c r="H1" s="55"/>
      <c r="I1" s="55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 ht="30.75" customHeight="1">
      <c r="A3" s="21" t="s">
        <v>43</v>
      </c>
      <c r="B3" s="56"/>
      <c r="C3" s="56"/>
      <c r="D3" s="56"/>
      <c r="E3" s="56"/>
      <c r="F3" s="56"/>
      <c r="G3" s="56"/>
      <c r="H3" s="56"/>
      <c r="I3" s="56"/>
    </row>
    <row r="4" spans="1:9">
      <c r="A4" s="8" t="s">
        <v>44</v>
      </c>
      <c r="B4" s="57"/>
      <c r="C4" s="57"/>
      <c r="D4" s="57"/>
      <c r="E4" s="57"/>
      <c r="F4" s="57"/>
      <c r="G4" s="57"/>
      <c r="H4" s="57"/>
      <c r="I4" s="57"/>
    </row>
    <row r="5" spans="1:9">
      <c r="A5" s="8"/>
      <c r="B5" s="8"/>
    </row>
    <row r="6" spans="1:9">
      <c r="A6" s="58" t="s">
        <v>59</v>
      </c>
      <c r="B6" s="54" t="s">
        <v>70</v>
      </c>
      <c r="C6" s="54"/>
      <c r="D6" s="54"/>
    </row>
    <row r="7" spans="1:9" ht="18">
      <c r="A7" s="58"/>
      <c r="B7" s="18" t="s">
        <v>45</v>
      </c>
      <c r="C7" s="18" t="s">
        <v>49</v>
      </c>
      <c r="D7" s="18" t="s">
        <v>50</v>
      </c>
      <c r="E7" s="1"/>
      <c r="H7" s="27"/>
    </row>
    <row r="8" spans="1:9">
      <c r="A8" s="45" t="s">
        <v>74</v>
      </c>
      <c r="B8" s="9">
        <f>BSnrb($A$8,"l")</f>
        <v>474.7</v>
      </c>
      <c r="C8" s="9">
        <f>BSnrb($A$8,"m")</f>
        <v>107.217766</v>
      </c>
      <c r="D8" s="9">
        <f>BSnrb($A$8,"n")</f>
        <v>104.40072000000001</v>
      </c>
      <c r="E8" s="10"/>
      <c r="H8" s="27"/>
    </row>
    <row r="10" spans="1:9">
      <c r="A10" s="54" t="s">
        <v>52</v>
      </c>
      <c r="B10" s="54"/>
      <c r="C10" s="54"/>
      <c r="D10" s="54"/>
      <c r="E10" s="54"/>
      <c r="H10" s="14"/>
    </row>
    <row r="11" spans="1:9" ht="30.75" customHeight="1">
      <c r="A11" s="26" t="s">
        <v>64</v>
      </c>
      <c r="B11" s="26" t="s">
        <v>65</v>
      </c>
      <c r="C11" s="26" t="s">
        <v>66</v>
      </c>
      <c r="D11" s="26" t="s">
        <v>67</v>
      </c>
      <c r="E11" s="11" t="s">
        <v>53</v>
      </c>
    </row>
    <row r="12" spans="1:9">
      <c r="A12" s="9">
        <v>0.15</v>
      </c>
      <c r="B12" s="46"/>
      <c r="C12" s="46"/>
      <c r="D12" s="46"/>
      <c r="E12" s="9">
        <f>SUM(A12:D12)</f>
        <v>0.15</v>
      </c>
    </row>
    <row r="13" spans="1:9" ht="41.25" customHeight="1">
      <c r="E13" s="49" t="s">
        <v>63</v>
      </c>
      <c r="F13" s="50"/>
      <c r="G13" s="50"/>
    </row>
    <row r="14" spans="1:9" ht="45">
      <c r="A14" s="2" t="s">
        <v>62</v>
      </c>
      <c r="B14" s="4" t="s">
        <v>61</v>
      </c>
      <c r="C14" s="3" t="s">
        <v>68</v>
      </c>
      <c r="D14" s="4" t="s">
        <v>69</v>
      </c>
      <c r="E14" s="3" t="s">
        <v>46</v>
      </c>
      <c r="F14" s="3" t="s">
        <v>47</v>
      </c>
      <c r="G14" s="3" t="s">
        <v>48</v>
      </c>
      <c r="H14" s="4" t="s">
        <v>51</v>
      </c>
      <c r="I14" s="26" t="s">
        <v>56</v>
      </c>
    </row>
    <row r="15" spans="1:9">
      <c r="A15" s="25">
        <v>1</v>
      </c>
      <c r="B15" s="17" t="s">
        <v>75</v>
      </c>
      <c r="C15" s="12"/>
      <c r="D15" s="6">
        <f>Table243[[#This Row],[IPC Amount]]</f>
        <v>0</v>
      </c>
      <c r="E15" s="13">
        <f>BSnrb(Table243[[#This Row],[IPC Submisstion
Date]],Table243[[#Headers],[l]])</f>
        <v>500.8381542398198</v>
      </c>
      <c r="F15" s="13">
        <f>BSnrb(Table243[[#This Row],[IPC Submisstion
Date]],Table243[[#Headers],[m]])</f>
        <v>103.13581000000001</v>
      </c>
      <c r="G15" s="13">
        <f>BSnrb(Table243[[#This Row],[IPC Submisstion
Date]],Table243[[#Headers],[n]])</f>
        <v>107.676216</v>
      </c>
      <c r="H15" s="9">
        <f>a+
b*Table243[[#This Row],[l]]/lo+
c_*Table243[[#This Row],[m]]/mo+
d*Table243[[#This Row],[n]]/no</f>
        <v>0.15</v>
      </c>
      <c r="I15" s="6">
        <f>(Table243[[#This Row],[Price Adj.
factor]]-1) * Table243[[#This Row],[IPC Amount
for Price Adj.]]</f>
        <v>0</v>
      </c>
    </row>
    <row r="16" spans="1:9" ht="15.75" thickBot="1">
      <c r="A16" s="47">
        <v>2</v>
      </c>
      <c r="B16" s="17" t="s">
        <v>89</v>
      </c>
      <c r="C16" s="12"/>
      <c r="D16" s="6">
        <f>Table243[[#This Row],[IPC Amount]]</f>
        <v>0</v>
      </c>
      <c r="E16" s="13">
        <f>BSnrb(Table243[[#This Row],[IPC Submisstion
Date]],Table243[[#Headers],[l]])</f>
        <v>514.52547814384309</v>
      </c>
      <c r="F16" s="13">
        <f>BSnrb(Table243[[#This Row],[IPC Submisstion
Date]],Table243[[#Headers],[m]])</f>
        <v>108.20650000000001</v>
      </c>
      <c r="G16" s="13">
        <f>BSnrb(Table243[[#This Row],[IPC Submisstion
Date]],Table243[[#Headers],[n]])</f>
        <v>113.512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Top="1">
      <c r="A17" s="19"/>
      <c r="B17" s="19"/>
      <c r="C17" s="19">
        <f>SUBTOTAL(109,Table243[IPC Amount])</f>
        <v>0</v>
      </c>
      <c r="D17" s="19">
        <f>SUBTOTAL(109,Table243[IPC Amount
for Price Adj.])</f>
        <v>0</v>
      </c>
      <c r="E17" s="19"/>
      <c r="F17" s="19"/>
      <c r="G17" s="19"/>
      <c r="H17" s="29" t="s">
        <v>53</v>
      </c>
      <c r="I17" s="20">
        <f>SUBTOTAL(109,Table243[Net Price Adj.
Amount])</f>
        <v>0</v>
      </c>
    </row>
    <row r="18" spans="1:9">
      <c r="A18" s="22"/>
      <c r="B18" s="22"/>
      <c r="C18" s="22"/>
      <c r="D18" s="22"/>
      <c r="E18" s="22"/>
      <c r="F18" s="22"/>
      <c r="G18" s="22"/>
      <c r="H18" s="28" t="s">
        <v>71</v>
      </c>
      <c r="I18" s="22">
        <f>Table243[[#Totals],[Net Price Adj.
Amount]]*0.13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72</v>
      </c>
      <c r="I19" s="22">
        <f>Table243[[#Totals],[Net Price Adj.
Amount]]+VAT</f>
        <v>0</v>
      </c>
    </row>
    <row r="20" spans="1:9">
      <c r="A20" s="22"/>
      <c r="B20" s="22"/>
      <c r="C20" s="22"/>
      <c r="D20" s="22"/>
      <c r="E20" s="22"/>
      <c r="F20" s="22"/>
      <c r="G20" s="22"/>
      <c r="H20" s="23"/>
      <c r="I20" s="22"/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51" t="s">
        <v>54</v>
      </c>
      <c r="B22" s="51"/>
      <c r="C22" s="51"/>
      <c r="D22" s="51"/>
      <c r="E22" s="51"/>
      <c r="F22" s="51"/>
      <c r="G22" s="51"/>
      <c r="H22" s="51"/>
      <c r="I22" s="51"/>
    </row>
    <row r="23" spans="1:9">
      <c r="A23" s="52" t="s">
        <v>57</v>
      </c>
      <c r="B23" s="52"/>
      <c r="C23" s="52"/>
      <c r="D23" s="52"/>
      <c r="E23" s="52"/>
      <c r="F23" s="52"/>
      <c r="G23" s="52"/>
      <c r="H23" s="52"/>
      <c r="I23" s="52"/>
    </row>
    <row r="24" spans="1:9">
      <c r="A24" s="52" t="s">
        <v>58</v>
      </c>
      <c r="B24" s="52"/>
      <c r="C24" s="52"/>
      <c r="D24" s="52"/>
      <c r="E24" s="52"/>
      <c r="F24" s="52"/>
      <c r="G24" s="52"/>
      <c r="H24" s="52"/>
      <c r="I24" s="52"/>
    </row>
    <row r="27" spans="1:9" ht="28.5">
      <c r="A27" s="53" t="s">
        <v>85</v>
      </c>
      <c r="B27" s="53"/>
      <c r="C27" s="53"/>
      <c r="D27" s="53"/>
      <c r="E27" s="53"/>
      <c r="F27" s="53"/>
      <c r="G27" s="53"/>
      <c r="H27" s="53"/>
      <c r="I27" s="53"/>
    </row>
    <row r="28" spans="1:9">
      <c r="A28" s="24"/>
    </row>
    <row r="93" spans="1:2">
      <c r="A93" s="14"/>
    </row>
    <row r="95" spans="1:2">
      <c r="B95" s="14"/>
    </row>
    <row r="96" spans="1:2">
      <c r="B96" s="14"/>
    </row>
  </sheetData>
  <mergeCells count="11">
    <mergeCell ref="A10:E10"/>
    <mergeCell ref="A1:I1"/>
    <mergeCell ref="B3:I3"/>
    <mergeCell ref="B4:I4"/>
    <mergeCell ref="A6:A7"/>
    <mergeCell ref="B6:D6"/>
    <mergeCell ref="E13:G13"/>
    <mergeCell ref="A22:I22"/>
    <mergeCell ref="A23:I23"/>
    <mergeCell ref="A24:I24"/>
    <mergeCell ref="A27:I27"/>
  </mergeCells>
  <conditionalFormatting sqref="I15:I16">
    <cfRule type="cellIs" dxfId="81" priority="2" operator="lessThan">
      <formula>0</formula>
    </cfRule>
  </conditionalFormatting>
  <conditionalFormatting sqref="I17:I21">
    <cfRule type="cellIs" dxfId="80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F0"/>
    <pageSetUpPr fitToPage="1"/>
  </sheetPr>
  <dimension ref="A1:AJ96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9" ht="28.5">
      <c r="A1" s="55" t="s">
        <v>55</v>
      </c>
      <c r="B1" s="55"/>
      <c r="C1" s="55"/>
      <c r="D1" s="55"/>
      <c r="E1" s="55"/>
      <c r="F1" s="55"/>
      <c r="G1" s="55"/>
      <c r="H1" s="55"/>
      <c r="I1" s="55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 ht="30.75" customHeight="1">
      <c r="A3" s="21" t="s">
        <v>43</v>
      </c>
      <c r="B3" s="56"/>
      <c r="C3" s="56"/>
      <c r="D3" s="56"/>
      <c r="E3" s="56"/>
      <c r="F3" s="56"/>
      <c r="G3" s="56"/>
      <c r="H3" s="56"/>
      <c r="I3" s="56"/>
    </row>
    <row r="4" spans="1:9">
      <c r="A4" s="8" t="s">
        <v>44</v>
      </c>
      <c r="B4" s="57"/>
      <c r="C4" s="57"/>
      <c r="D4" s="57"/>
      <c r="E4" s="57"/>
      <c r="F4" s="57"/>
      <c r="G4" s="57"/>
      <c r="H4" s="57"/>
      <c r="I4" s="57"/>
    </row>
    <row r="5" spans="1:9">
      <c r="A5" s="8"/>
      <c r="B5" s="8"/>
    </row>
    <row r="6" spans="1:9">
      <c r="A6" s="58" t="s">
        <v>59</v>
      </c>
      <c r="B6" s="54" t="s">
        <v>70</v>
      </c>
      <c r="C6" s="54"/>
      <c r="D6" s="54"/>
    </row>
    <row r="7" spans="1:9" ht="18">
      <c r="A7" s="58"/>
      <c r="B7" s="18" t="s">
        <v>45</v>
      </c>
      <c r="C7" s="18" t="s">
        <v>49</v>
      </c>
      <c r="D7" s="18" t="s">
        <v>50</v>
      </c>
      <c r="E7" s="1"/>
      <c r="H7" s="27"/>
    </row>
    <row r="8" spans="1:9">
      <c r="A8" s="45" t="s">
        <v>91</v>
      </c>
      <c r="B8" s="9">
        <f>ADnrb($A$8,"l")</f>
        <v>500.8381542398198</v>
      </c>
      <c r="C8" s="9">
        <f>ADnrb($A$8,"m")</f>
        <v>102.328766</v>
      </c>
      <c r="D8" s="9">
        <f>ADnrb($A$8,"n")</f>
        <v>107.387505</v>
      </c>
      <c r="E8" s="10"/>
      <c r="H8" s="27"/>
    </row>
    <row r="10" spans="1:9">
      <c r="A10" s="54" t="s">
        <v>52</v>
      </c>
      <c r="B10" s="54"/>
      <c r="C10" s="54"/>
      <c r="D10" s="54"/>
      <c r="E10" s="54"/>
      <c r="H10" s="14"/>
    </row>
    <row r="11" spans="1:9" ht="30.75" customHeight="1">
      <c r="A11" s="48" t="s">
        <v>64</v>
      </c>
      <c r="B11" s="48" t="s">
        <v>65</v>
      </c>
      <c r="C11" s="48" t="s">
        <v>66</v>
      </c>
      <c r="D11" s="48" t="s">
        <v>67</v>
      </c>
      <c r="E11" s="11" t="s">
        <v>53</v>
      </c>
    </row>
    <row r="12" spans="1:9">
      <c r="A12" s="9">
        <v>0.15</v>
      </c>
      <c r="B12" s="46"/>
      <c r="C12" s="46"/>
      <c r="D12" s="46"/>
      <c r="E12" s="9">
        <f>SUM(A12:D12)</f>
        <v>0.15</v>
      </c>
    </row>
    <row r="13" spans="1:9" ht="41.25" customHeight="1">
      <c r="E13" s="49" t="s">
        <v>63</v>
      </c>
      <c r="F13" s="50"/>
      <c r="G13" s="50"/>
    </row>
    <row r="14" spans="1:9" ht="45">
      <c r="A14" s="2" t="s">
        <v>62</v>
      </c>
      <c r="B14" s="4" t="s">
        <v>61</v>
      </c>
      <c r="C14" s="3" t="s">
        <v>68</v>
      </c>
      <c r="D14" s="4" t="s">
        <v>69</v>
      </c>
      <c r="E14" s="3" t="s">
        <v>46</v>
      </c>
      <c r="F14" s="3" t="s">
        <v>47</v>
      </c>
      <c r="G14" s="3" t="s">
        <v>48</v>
      </c>
      <c r="H14" s="4" t="s">
        <v>51</v>
      </c>
      <c r="I14" s="48" t="s">
        <v>56</v>
      </c>
    </row>
    <row r="15" spans="1:9">
      <c r="A15" s="47">
        <v>1</v>
      </c>
      <c r="B15" s="17" t="s">
        <v>90</v>
      </c>
      <c r="C15" s="12"/>
      <c r="D15" s="6">
        <f>Table2434[[#This Row],[IPC Amount]]</f>
        <v>0</v>
      </c>
      <c r="E15" s="13">
        <f>ADnrb(Table2434[[#This Row],[IPC Submisstion
Date]],Table2434[[#Headers],[l]])</f>
        <v>500.96844064228122</v>
      </c>
      <c r="F15" s="13">
        <f>ADnrb(Table2434[[#This Row],[IPC Submisstion
Date]],Table2434[[#Headers],[m]])</f>
        <v>105.03371</v>
      </c>
      <c r="G15" s="13">
        <f>ADnrb(Table2434[[#This Row],[IPC Submisstion
Date]],Table2434[[#Headers],[n]])</f>
        <v>112.74575</v>
      </c>
      <c r="H15" s="9">
        <f>a+
b*Table2434[[#This Row],[l]]/lo+
c_*Table2434[[#This Row],[m]]/mo+
d*Table2434[[#This Row],[n]]/no</f>
        <v>0.15</v>
      </c>
      <c r="I15" s="6">
        <f>(Table2434[[#This Row],[Price Adj.
factor]]-1) * Table2434[[#This Row],[IPC Amount
for Price Adj.]]</f>
        <v>0</v>
      </c>
    </row>
    <row r="16" spans="1:9" ht="15.75" thickBot="1">
      <c r="A16" s="47">
        <v>2</v>
      </c>
      <c r="B16" s="17" t="s">
        <v>87</v>
      </c>
      <c r="C16" s="12"/>
      <c r="D16" s="6">
        <f>Table2434[[#This Row],[IPC Amount]]</f>
        <v>0</v>
      </c>
      <c r="E16" s="13">
        <f>ADnrb(Table2434[[#This Row],[IPC Submisstion
Date]],Table2434[[#Headers],[l]])</f>
        <v>526.8947436082924</v>
      </c>
      <c r="F16" s="13">
        <f>ADnrb(Table2434[[#This Row],[IPC Submisstion
Date]],Table2434[[#Headers],[m]])</f>
        <v>125.87631</v>
      </c>
      <c r="G16" s="13">
        <f>ADnrb(Table2434[[#This Row],[IPC Submisstion
Date]],Table2434[[#Headers],[n]])</f>
        <v>122.78874</v>
      </c>
      <c r="H16" s="9">
        <f>a+
b*Table2434[[#This Row],[l]]/lo+
c_*Table2434[[#This Row],[m]]/mo+
d*Table2434[[#This Row],[n]]/no</f>
        <v>0.15</v>
      </c>
      <c r="I16" s="6">
        <f>(Table2434[[#This Row],[Price Adj.
factor]]-1) * Table2434[[#This Row],[IPC Amount
for Price Adj.]]</f>
        <v>0</v>
      </c>
    </row>
    <row r="17" spans="1:9" ht="15.75" thickTop="1">
      <c r="A17" s="19"/>
      <c r="B17" s="19"/>
      <c r="C17" s="19">
        <f>SUBTOTAL(109,Table2434[IPC Amount])</f>
        <v>0</v>
      </c>
      <c r="D17" s="19">
        <f>SUBTOTAL(109,Table2434[IPC Amount
for Price Adj.])</f>
        <v>0</v>
      </c>
      <c r="E17" s="19"/>
      <c r="F17" s="19"/>
      <c r="G17" s="19"/>
      <c r="H17" s="29" t="s">
        <v>53</v>
      </c>
      <c r="I17" s="20">
        <f>SUBTOTAL(109,Table2434[Net Price Adj.
Amount])</f>
        <v>0</v>
      </c>
    </row>
    <row r="18" spans="1:9">
      <c r="A18" s="22"/>
      <c r="B18" s="22"/>
      <c r="C18" s="22"/>
      <c r="D18" s="22"/>
      <c r="E18" s="22"/>
      <c r="F18" s="22"/>
      <c r="G18" s="22"/>
      <c r="H18" s="28" t="s">
        <v>71</v>
      </c>
      <c r="I18" s="22">
        <f>Table2434[[#Totals],[Net Price Adj.
Amount]]*0.13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72</v>
      </c>
      <c r="I19" s="22">
        <f>Table2434[[#Totals],[Net Price Adj.
Amount]]+VAT</f>
        <v>0</v>
      </c>
    </row>
    <row r="20" spans="1:9">
      <c r="A20" s="22"/>
      <c r="B20" s="22"/>
      <c r="C20" s="22"/>
      <c r="D20" s="22"/>
      <c r="E20" s="22"/>
      <c r="F20" s="22"/>
      <c r="G20" s="22"/>
      <c r="H20" s="23"/>
      <c r="I20" s="22"/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51" t="s">
        <v>54</v>
      </c>
      <c r="B22" s="51"/>
      <c r="C22" s="51"/>
      <c r="D22" s="51"/>
      <c r="E22" s="51"/>
      <c r="F22" s="51"/>
      <c r="G22" s="51"/>
      <c r="H22" s="51"/>
      <c r="I22" s="51"/>
    </row>
    <row r="23" spans="1:9">
      <c r="A23" s="52" t="s">
        <v>57</v>
      </c>
      <c r="B23" s="52"/>
      <c r="C23" s="52"/>
      <c r="D23" s="52"/>
      <c r="E23" s="52"/>
      <c r="F23" s="52"/>
      <c r="G23" s="52"/>
      <c r="H23" s="52"/>
      <c r="I23" s="52"/>
    </row>
    <row r="24" spans="1:9">
      <c r="A24" s="52" t="s">
        <v>58</v>
      </c>
      <c r="B24" s="52"/>
      <c r="C24" s="52"/>
      <c r="D24" s="52"/>
      <c r="E24" s="52"/>
      <c r="F24" s="52"/>
      <c r="G24" s="52"/>
      <c r="H24" s="52"/>
      <c r="I24" s="52"/>
    </row>
    <row r="27" spans="1:9" ht="28.5">
      <c r="A27" s="53" t="s">
        <v>85</v>
      </c>
      <c r="B27" s="53"/>
      <c r="C27" s="53"/>
      <c r="D27" s="53"/>
      <c r="E27" s="53"/>
      <c r="F27" s="53"/>
      <c r="G27" s="53"/>
      <c r="H27" s="53"/>
      <c r="I27" s="53"/>
    </row>
    <row r="28" spans="1:9">
      <c r="A28" s="24"/>
    </row>
    <row r="93" spans="1:2">
      <c r="A93" s="14"/>
    </row>
    <row r="95" spans="1:2">
      <c r="B95" s="14"/>
    </row>
    <row r="96" spans="1:2">
      <c r="B96" s="14"/>
    </row>
  </sheetData>
  <mergeCells count="11">
    <mergeCell ref="E13:G13"/>
    <mergeCell ref="A22:I22"/>
    <mergeCell ref="A23:I23"/>
    <mergeCell ref="A24:I24"/>
    <mergeCell ref="A27:I27"/>
    <mergeCell ref="A10:E10"/>
    <mergeCell ref="A1:I1"/>
    <mergeCell ref="B3:I3"/>
    <mergeCell ref="B4:I4"/>
    <mergeCell ref="A6:A7"/>
    <mergeCell ref="B6:D6"/>
  </mergeCells>
  <conditionalFormatting sqref="I15:I16">
    <cfRule type="cellIs" dxfId="73" priority="2" operator="lessThan">
      <formula>0</formula>
    </cfRule>
  </conditionalFormatting>
  <conditionalFormatting sqref="I17:I21">
    <cfRule type="cellIs" dxfId="72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0000"/>
    <pageSetUpPr fitToPage="1"/>
  </sheetPr>
  <dimension ref="A1:E6"/>
  <sheetViews>
    <sheetView showGridLines="0" zoomScaleNormal="100" zoomScaleSheetLayoutView="100" workbookViewId="0">
      <selection activeCell="A6" sqref="A6"/>
    </sheetView>
  </sheetViews>
  <sheetFormatPr defaultRowHeight="15"/>
  <cols>
    <col min="1" max="1" width="29.28515625" bestFit="1" customWidth="1"/>
    <col min="2" max="2" width="15" bestFit="1" customWidth="1"/>
    <col min="3" max="3" width="21" bestFit="1" customWidth="1"/>
    <col min="4" max="5" width="25.140625" customWidth="1"/>
  </cols>
  <sheetData>
    <row r="1" spans="1:5">
      <c r="A1" s="33" t="s">
        <v>76</v>
      </c>
      <c r="B1" s="39" t="str">
        <f ca="1">ad2bs(TODAY())</f>
        <v>2079-2-16</v>
      </c>
    </row>
    <row r="2" spans="1:5" ht="30">
      <c r="A2" s="37" t="s">
        <v>86</v>
      </c>
      <c r="B2" s="38">
        <f ca="1">BSnrb(presentDate,"qtr")</f>
        <v>2022.04</v>
      </c>
    </row>
    <row r="3" spans="1:5" ht="30">
      <c r="A3" s="37" t="s">
        <v>78</v>
      </c>
      <c r="B3" s="38">
        <f ca="1">BSnrb(presentDate,"o")</f>
        <v>137.24484000000001</v>
      </c>
    </row>
    <row r="4" spans="1:5" ht="36" customHeight="1"/>
    <row r="5" spans="1:5" ht="31.5">
      <c r="A5" s="34" t="s">
        <v>77</v>
      </c>
      <c r="B5" s="35" t="s">
        <v>79</v>
      </c>
      <c r="C5" s="36" t="s">
        <v>80</v>
      </c>
      <c r="D5" s="36" t="s">
        <v>81</v>
      </c>
      <c r="E5" s="43" t="s">
        <v>82</v>
      </c>
    </row>
    <row r="6" spans="1:5">
      <c r="A6" s="32" t="s">
        <v>84</v>
      </c>
      <c r="B6" s="42" t="s">
        <v>83</v>
      </c>
      <c r="C6" s="44">
        <f>BSnrb(projectTable[[#This Row],[Actual Date
of Completion]],"o")</f>
        <v>100.45525221079566</v>
      </c>
      <c r="D6" s="40">
        <v>10000000</v>
      </c>
      <c r="E6" s="41">
        <f t="shared" ref="E6" ca="1" si="0">amount*presentIndex/originalIndex</f>
        <v>13662286.140301051</v>
      </c>
    </row>
  </sheetData>
  <pageMargins left="0.7" right="0.7" top="0.75" bottom="0.75" header="0.3" footer="0.3"/>
  <pageSetup paperSize="9" fitToHeight="0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F0"/>
    <pageSetUpPr fitToPage="1"/>
  </sheetPr>
  <dimension ref="A1:E6"/>
  <sheetViews>
    <sheetView showGridLines="0" zoomScaleNormal="100" zoomScaleSheetLayoutView="100" workbookViewId="0">
      <selection activeCell="A6" sqref="A6"/>
    </sheetView>
  </sheetViews>
  <sheetFormatPr defaultRowHeight="15"/>
  <cols>
    <col min="1" max="1" width="29.28515625" bestFit="1" customWidth="1"/>
    <col min="2" max="2" width="15" bestFit="1" customWidth="1"/>
    <col min="3" max="3" width="21" bestFit="1" customWidth="1"/>
    <col min="4" max="5" width="25.140625" customWidth="1"/>
  </cols>
  <sheetData>
    <row r="1" spans="1:5">
      <c r="A1" s="33" t="s">
        <v>76</v>
      </c>
      <c r="B1" s="39">
        <f ca="1">TODAY()</f>
        <v>44711</v>
      </c>
    </row>
    <row r="2" spans="1:5" ht="30">
      <c r="A2" s="37" t="s">
        <v>86</v>
      </c>
      <c r="B2" s="38">
        <f ca="1">ADnrb(presentDate,"qtr")</f>
        <v>2022.04</v>
      </c>
    </row>
    <row r="3" spans="1:5" ht="30">
      <c r="A3" s="37" t="s">
        <v>78</v>
      </c>
      <c r="B3" s="38">
        <f ca="1">ADnrb(presentDate,"o")</f>
        <v>137.24484000000001</v>
      </c>
    </row>
    <row r="4" spans="1:5" ht="36" customHeight="1"/>
    <row r="5" spans="1:5" ht="31.5">
      <c r="A5" s="34" t="s">
        <v>77</v>
      </c>
      <c r="B5" s="35" t="s">
        <v>79</v>
      </c>
      <c r="C5" s="36" t="s">
        <v>80</v>
      </c>
      <c r="D5" s="36" t="s">
        <v>81</v>
      </c>
      <c r="E5" s="43" t="s">
        <v>82</v>
      </c>
    </row>
    <row r="6" spans="1:5">
      <c r="A6" s="32" t="s">
        <v>84</v>
      </c>
      <c r="B6" s="42" t="s">
        <v>88</v>
      </c>
      <c r="C6" s="44">
        <f>ADnrb(projectTable6[[#This Row],[Actual Date
of Completion]],"o")</f>
        <v>98.641382967678069</v>
      </c>
      <c r="D6" s="40">
        <v>10000000</v>
      </c>
      <c r="E6" s="41">
        <f t="shared" ref="E6" ca="1" si="0">amount*presentIndex/originalIndex</f>
        <v>13913515.389881665</v>
      </c>
    </row>
  </sheetData>
  <pageMargins left="0.7" right="0.7" top="0.75" bottom="0.75" header="0.3" footer="0.3"/>
  <pageSetup paperSize="9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FFFF00"/>
  </sheetPr>
  <dimension ref="A1:K120"/>
  <sheetViews>
    <sheetView topLeftCell="A100" zoomScaleNormal="100" workbookViewId="0">
      <selection activeCell="A118" sqref="A118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73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1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1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1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1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1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1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1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1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1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1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1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1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1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1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1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1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1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60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/>
      <c r="B118" t="s">
        <v>24</v>
      </c>
      <c r="C118" s="15"/>
      <c r="D118" s="15"/>
      <c r="E118" s="15"/>
      <c r="F118" s="15"/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29" priority="5">
      <formula>RIGHT($B2,3)="Qtr"</formula>
    </cfRule>
    <cfRule type="expression" dxfId="28" priority="6">
      <formula>OR(LEFT($B2,1)="2", LEFT($B2,1)="1")</formula>
    </cfRule>
  </conditionalFormatting>
  <conditionalFormatting sqref="A104:F104">
    <cfRule type="expression" dxfId="27" priority="3">
      <formula>RIGHT($B104,3)="Qtr"</formula>
    </cfRule>
    <cfRule type="expression" dxfId="26" priority="4">
      <formula>OR(LEFT($B104,1)="2", LEFT($B104,1)="1")</formula>
    </cfRule>
  </conditionalFormatting>
  <conditionalFormatting sqref="F2:F120">
    <cfRule type="expression" dxfId="25" priority="1">
      <formula>RIGHT($B2,3)="Qtr"</formula>
    </cfRule>
    <cfRule type="expression" dxfId="24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39</vt:i4>
      </vt:variant>
    </vt:vector>
  </HeadingPairs>
  <TitlesOfParts>
    <vt:vector size="44" baseType="lpstr">
      <vt:lpstr>IPC-BS</vt:lpstr>
      <vt:lpstr>IPC-AD</vt:lpstr>
      <vt:lpstr>Project-BS</vt:lpstr>
      <vt:lpstr>Project-AD</vt:lpstr>
      <vt:lpstr>Indices</vt:lpstr>
      <vt:lpstr>'IPC-AD'!a</vt:lpstr>
      <vt:lpstr>'IPC-BS'!a</vt:lpstr>
      <vt:lpstr>'IPC-AD'!amount</vt:lpstr>
      <vt:lpstr>'Project-AD'!amount</vt:lpstr>
      <vt:lpstr>amount</vt:lpstr>
      <vt:lpstr>'IPC-AD'!b</vt:lpstr>
      <vt:lpstr>'IPC-BS'!b</vt:lpstr>
      <vt:lpstr>'IPC-AD'!c_</vt:lpstr>
      <vt:lpstr>'IPC-BS'!c_</vt:lpstr>
      <vt:lpstr>'IPC-AD'!completionDate</vt:lpstr>
      <vt:lpstr>'Project-AD'!completionDate</vt:lpstr>
      <vt:lpstr>completionDate</vt:lpstr>
      <vt:lpstr>'IPC-AD'!d</vt:lpstr>
      <vt:lpstr>'IPC-BS'!d</vt:lpstr>
      <vt:lpstr>'IPC-AD'!dateType</vt:lpstr>
      <vt:lpstr>dateType</vt:lpstr>
      <vt:lpstr>'Project-AD'!dateType1</vt:lpstr>
      <vt:lpstr>dateType1</vt:lpstr>
      <vt:lpstr>'IPC-AD'!IPCtable</vt:lpstr>
      <vt:lpstr>IPCtable</vt:lpstr>
      <vt:lpstr>'IPC-AD'!lo</vt:lpstr>
      <vt:lpstr>'IPC-BS'!lo</vt:lpstr>
      <vt:lpstr>'IPC-AD'!mo</vt:lpstr>
      <vt:lpstr>'IPC-BS'!mo</vt:lpstr>
      <vt:lpstr>'IPC-AD'!no</vt:lpstr>
      <vt:lpstr>'IPC-BS'!no</vt:lpstr>
      <vt:lpstr>'IPC-AD'!originalIndex</vt:lpstr>
      <vt:lpstr>'Project-AD'!originalIndex</vt:lpstr>
      <vt:lpstr>originalIndex</vt:lpstr>
      <vt:lpstr>'Project-AD'!presentDate</vt:lpstr>
      <vt:lpstr>presentDate</vt:lpstr>
      <vt:lpstr>'Project-AD'!presentIndex</vt:lpstr>
      <vt:lpstr>presentIndex</vt:lpstr>
      <vt:lpstr>'IPC-AD'!Print_Area</vt:lpstr>
      <vt:lpstr>'IPC-BS'!Print_Area</vt:lpstr>
      <vt:lpstr>'Project-AD'!Print_Area</vt:lpstr>
      <vt:lpstr>'Project-BS'!Print_Area</vt:lpstr>
      <vt:lpstr>'IPC-AD'!VAT</vt:lpstr>
      <vt:lpstr>'IPC-BS'!VAT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2022-05-30T02:55:09Z</cp:lastPrinted>
  <dcterms:created xsi:type="dcterms:W3CDTF">2021-11-26T02:59:12Z</dcterms:created>
  <dcterms:modified xsi:type="dcterms:W3CDTF">2022-05-30T03:04:45Z</dcterms:modified>
</cp:coreProperties>
</file>