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gyan\Desktop\"/>
    </mc:Choice>
  </mc:AlternateContent>
  <xr:revisionPtr revIDLastSave="0" documentId="13_ncr:1_{F89A6EC1-CDBB-48AB-84C2-DF4EEC5525F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S" sheetId="1" r:id="rId1"/>
    <sheet name="AD" sheetId="3" r:id="rId2"/>
    <sheet name="Indices" sheetId="2" r:id="rId3"/>
  </sheets>
  <functionGroups builtInGroupCount="19"/>
  <definedNames>
    <definedName name="a" localSheetId="1">AD!$A$12</definedName>
    <definedName name="a">BS!$A$12</definedName>
    <definedName name="b" localSheetId="1">AD!$B$12</definedName>
    <definedName name="b">BS!$B$12</definedName>
    <definedName name="c_" localSheetId="1">AD!$C$12</definedName>
    <definedName name="c_">BS!$C$12</definedName>
    <definedName name="d" localSheetId="1">AD!$D$12</definedName>
    <definedName name="d">BS!$D$12</definedName>
    <definedName name="lo" localSheetId="1">AD!$B$8</definedName>
    <definedName name="lo">BS!$B$8</definedName>
    <definedName name="mo" localSheetId="1">AD!$C$8</definedName>
    <definedName name="mo">BS!$C$8</definedName>
    <definedName name="no" localSheetId="1">AD!$D$8</definedName>
    <definedName name="no">BS!$D$8</definedName>
    <definedName name="_xlnm.Print_Area" localSheetId="1">AD!$A$1:$I$22</definedName>
    <definedName name="_xlnm.Print_Area" localSheetId="0">BS!$A$1:$I$22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3" l="1"/>
  <c r="D17" i="3"/>
  <c r="D16" i="3"/>
  <c r="D18" i="1"/>
  <c r="D17" i="1"/>
  <c r="D16" i="1"/>
  <c r="C19" i="3"/>
  <c r="D15" i="3"/>
  <c r="E12" i="3"/>
  <c r="C19" i="1"/>
  <c r="D15" i="1"/>
  <c r="E12" i="1"/>
  <c r="E18" i="3"/>
  <c r="F18" i="3"/>
  <c r="G18" i="3"/>
  <c r="E17" i="3"/>
  <c r="F17" i="3"/>
  <c r="G17" i="3"/>
  <c r="E16" i="3"/>
  <c r="F16" i="3"/>
  <c r="G16" i="3"/>
  <c r="E18" i="1"/>
  <c r="F18" i="1"/>
  <c r="G18" i="1"/>
  <c r="E17" i="1"/>
  <c r="F17" i="1"/>
  <c r="G17" i="1"/>
  <c r="E16" i="1"/>
  <c r="F16" i="1"/>
  <c r="G16" i="1"/>
  <c r="F15" i="3"/>
  <c r="E15" i="3"/>
  <c r="D8" i="3"/>
  <c r="B8" i="3"/>
  <c r="G15" i="3"/>
  <c r="C8" i="3"/>
  <c r="C8" i="1"/>
  <c r="D8" i="1"/>
  <c r="B8" i="1"/>
  <c r="F15" i="1"/>
  <c r="E15" i="1"/>
  <c r="G15" i="1"/>
  <c r="H18" i="3" l="1"/>
  <c r="I18" i="3" s="1"/>
  <c r="H17" i="3"/>
  <c r="I17" i="3" s="1"/>
  <c r="H16" i="3"/>
  <c r="I16" i="3" s="1"/>
  <c r="H18" i="1"/>
  <c r="I18" i="1" s="1"/>
  <c r="H17" i="1"/>
  <c r="I17" i="1" s="1"/>
  <c r="H16" i="1"/>
  <c r="I16" i="1" s="1"/>
  <c r="H15" i="3"/>
  <c r="I15" i="3" s="1"/>
  <c r="H15" i="1"/>
  <c r="I15" i="1" s="1"/>
  <c r="D19" i="3"/>
  <c r="D19" i="1"/>
  <c r="I19" i="3" l="1"/>
  <c r="I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C3" authorId="0" shapeId="0" xr:uid="{00000000-0006-0000-0000-000001000000}">
      <text>
        <r>
          <rPr>
            <sz val="11"/>
            <color indexed="81"/>
            <rFont val="Tahoma"/>
            <family val="2"/>
          </rPr>
          <t>Name and ID</t>
        </r>
      </text>
    </comment>
    <comment ref="A8" authorId="0" shapeId="0" xr:uid="{00000000-0006-0000-0000-000002000000}">
      <text>
        <r>
          <rPr>
            <sz val="11"/>
            <color indexed="81"/>
            <rFont val="Tahoma"/>
            <family val="2"/>
          </rPr>
          <t>Bid Submission Date</t>
        </r>
      </text>
    </comment>
    <comment ref="D12" authorId="0" shapeId="0" xr:uid="{00000000-0006-0000-0000-000003000000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C3" authorId="0" shapeId="0" xr:uid="{293A873A-998C-485A-A6C5-ECD69A7A2812}">
      <text>
        <r>
          <rPr>
            <sz val="11"/>
            <color indexed="81"/>
            <rFont val="Tahoma"/>
            <family val="2"/>
          </rPr>
          <t>Name and ID</t>
        </r>
      </text>
    </comment>
    <comment ref="A8" authorId="0" shapeId="0" xr:uid="{D48414D0-99CC-46AD-8BCF-79B9F67648E0}">
      <text>
        <r>
          <rPr>
            <sz val="11"/>
            <color indexed="81"/>
            <rFont val="Tahoma"/>
            <family val="2"/>
          </rPr>
          <t>Bid Submission Date</t>
        </r>
      </text>
    </comment>
    <comment ref="D12" authorId="0" shapeId="0" xr:uid="{CAF7464B-5475-4145-9B12-0F7429C8B6DE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sharedStrings.xml><?xml version="1.0" encoding="utf-8"?>
<sst xmlns="http://schemas.openxmlformats.org/spreadsheetml/2006/main" count="171" uniqueCount="79">
  <si>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</si>
  <si>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</si>
  <si>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</si>
  <si>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</si>
  <si>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</si>
  <si>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</si>
  <si>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</si>
  <si>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</si>
  <si>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</si>
  <si>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</si>
  <si>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</si>
  <si>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</si>
  <si>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</si>
  <si>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</si>
  <si>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</si>
  <si>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</si>
  <si>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</si>
  <si>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</si>
  <si>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</si>
  <si>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</si>
  <si>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</si>
  <si>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</si>
  <si>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</si>
  <si>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</si>
  <si>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</si>
  <si>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</si>
  <si>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</si>
  <si>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</si>
  <si>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</si>
  <si>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</si>
  <si>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</si>
  <si>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</si>
  <si>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</si>
  <si>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</si>
  <si>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</si>
  <si>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</si>
  <si>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</si>
  <si>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</si>
  <si>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</si>
  <si>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</si>
  <si>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</si>
  <si>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</si>
  <si>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</si>
  <si>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</si>
  <si>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</si>
  <si>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Base Indices</t>
  </si>
  <si>
    <t>Bill No.</t>
  </si>
  <si>
    <t>Bill Date</t>
  </si>
  <si>
    <t>Bill Amount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</si>
  <si>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</si>
  <si>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</si>
  <si>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</si>
  <si>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</si>
  <si>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</si>
  <si>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</si>
  <si>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a</t>
  </si>
  <si>
    <t>b</t>
  </si>
  <si>
    <t>c</t>
  </si>
  <si>
    <t>d</t>
  </si>
  <si>
    <t>Price Adj.
factor</t>
  </si>
  <si>
    <t>Price Adjustment Coefficients</t>
  </si>
  <si>
    <t>TOTAL</t>
  </si>
  <si>
    <t>Source for indices:</t>
  </si>
  <si>
    <t>PRICE ADJUSTMENT CALCULATION</t>
  </si>
  <si>
    <t>Bill Amount
for Price Adj.</t>
  </si>
  <si>
    <t>Net Price Adj.
Amount</t>
  </si>
  <si>
    <t>1. NRB: National Salary and Wage Rate Index</t>
  </si>
  <si>
    <t>2. NRB: National Wholesale Price Index</t>
  </si>
  <si>
    <t>2076-10-29</t>
  </si>
  <si>
    <t>2020-2-12</t>
  </si>
  <si>
    <t>2077-9-22</t>
  </si>
  <si>
    <t>2021-1-6</t>
  </si>
  <si>
    <t>Bid Submission Date</t>
  </si>
  <si>
    <t>2077-9-23</t>
  </si>
  <si>
    <t>2077-9-24</t>
  </si>
  <si>
    <t>2077-9-25</t>
  </si>
  <si>
    <t>2021-1-7</t>
  </si>
  <si>
    <t>2021-1-8</t>
  </si>
  <si>
    <t>2021-1-9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</si>
</sst>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0.0"/>
  </numFmts>
  <fonts count="16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13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9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4" fontId="7" fillId="0" borderId="0" xfId="0" applyNumberFormat="1" applyFont="1" applyFill="1"/>
    <xf numFmtId="1" fontId="0" fillId="0" borderId="0" xfId="0" applyNumberFormat="1"/>
    <xf numFmtId="0" fontId="14" fillId="0" borderId="0" xfId="0" applyFon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4" fontId="0" fillId="0" borderId="0" xfId="0" applyNumberFormat="1" applyAlignment="1">
      <alignment vertical="center" wrapText="1"/>
    </xf>
    <xf numFmtId="164" fontId="0" fillId="0" borderId="0" xfId="0" applyNumberFormat="1"/>
    <xf numFmtId="0" fontId="0" fillId="0" borderId="1" xfId="0" applyFont="1" applyBorder="1" applyAlignment="1">
      <alignment horizontal="center" vertical="center"/>
    </xf>
    <xf numFmtId="0" fontId="0" fillId="0" borderId="0" xfId="12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/>
    </xf>
    <xf numFmtId="4" fontId="0" fillId="0" borderId="5" xfId="12" applyNumberFormat="1" applyFont="1" applyBorder="1"/>
    <xf numFmtId="0" fontId="0" fillId="0" borderId="5" xfId="0" applyFont="1" applyBorder="1" applyAlignment="1">
      <alignment horizontal="center"/>
    </xf>
    <xf numFmtId="2" fontId="0" fillId="0" borderId="5" xfId="0" applyNumberFormat="1" applyFont="1" applyBorder="1"/>
    <xf numFmtId="2" fontId="0" fillId="0" borderId="5" xfId="0" applyNumberFormat="1" applyFont="1" applyBorder="1" applyAlignment="1">
      <alignment horizontal="center"/>
    </xf>
    <xf numFmtId="43" fontId="8" fillId="0" borderId="4" xfId="0" applyNumberFormat="1" applyFont="1" applyBorder="1"/>
    <xf numFmtId="43" fontId="8" fillId="0" borderId="4" xfId="0" applyNumberFormat="1" applyFont="1" applyBorder="1" applyAlignment="1">
      <alignment horizontal="right"/>
    </xf>
    <xf numFmtId="43" fontId="8" fillId="0" borderId="6" xfId="0" applyNumberFormat="1" applyFont="1" applyBorder="1"/>
    <xf numFmtId="43" fontId="0" fillId="0" borderId="5" xfId="12" applyFont="1" applyBorder="1"/>
    <xf numFmtId="0" fontId="13" fillId="0" borderId="0" xfId="0" applyFont="1" applyAlignment="1">
      <alignment horizontal="center" vertical="top"/>
    </xf>
    <xf numFmtId="0" fontId="11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horizontal="right" vertical="top"/>
    </xf>
    <xf numFmtId="0" fontId="0" fillId="0" borderId="0" xfId="0" applyFont="1" applyAlignment="1">
      <alignment horizontal="right"/>
    </xf>
    <xf numFmtId="0" fontId="0" fillId="0" borderId="1" xfId="0" applyFont="1" applyBorder="1" applyAlignment="1">
      <alignment horizontal="center" vertical="center" wrapText="1"/>
    </xf>
    <xf numFmtId="0" fontId="8" fillId="0" borderId="0" xfId="0" applyFont="1" applyFill="1" applyAlignment="1">
      <alignment horizontal="left" vertical="top" wrapText="1"/>
    </xf>
    <xf numFmtId="0" fontId="8" fillId="0" borderId="0" xfId="0" applyFont="1" applyFill="1" applyAlignment="1">
      <alignment horizontal="left"/>
    </xf>
    <xf numFmtId="0" fontId="15" fillId="0" borderId="0" xfId="0" applyFont="1" applyAlignment="1">
      <alignment horizontal="left"/>
    </xf>
  </cellXfs>
  <cellStyles count="13">
    <cellStyle name="Comma" xfId="12" builtinId="3"/>
    <cellStyle name="Comma 2" xfId="2" xr:uid="{00000000-0005-0000-0000-000001000000}"/>
    <cellStyle name="Comma 2 2" xfId="3" xr:uid="{00000000-0005-0000-0000-000002000000}"/>
    <cellStyle name="Currency 2" xfId="4" xr:uid="{00000000-0005-0000-0000-000003000000}"/>
    <cellStyle name="Normal" xfId="0" builtinId="0"/>
    <cellStyle name="Normal 11" xfId="5" xr:uid="{00000000-0005-0000-0000-000005000000}"/>
    <cellStyle name="Normal 2" xfId="6" xr:uid="{00000000-0005-0000-0000-000006000000}"/>
    <cellStyle name="Normal 2 4" xfId="7" xr:uid="{00000000-0005-0000-0000-000007000000}"/>
    <cellStyle name="Normal 3" xfId="1" xr:uid="{00000000-0005-0000-0000-000008000000}"/>
    <cellStyle name="Normal 30" xfId="8" xr:uid="{00000000-0005-0000-0000-000009000000}"/>
    <cellStyle name="Normal 33" xfId="9" xr:uid="{00000000-0005-0000-0000-00000A000000}"/>
    <cellStyle name="Normal 4" xfId="11" xr:uid="{00000000-0005-0000-0000-00000B000000}"/>
    <cellStyle name="Percent 2" xfId="10" xr:uid="{00000000-0005-0000-0000-00000C000000}"/>
  </cellStyles>
  <dxfs count="5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  <dxf>
      <border>
        <top style="double">
          <color indexed="64"/>
        </top>
      </border>
    </dxf>
    <dxf>
      <font>
        <b/>
        <strike val="0"/>
        <outline val="0"/>
        <shadow val="0"/>
        <u val="no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4:I19" totalsRowCount="1" headerRowDxfId="55" dataDxfId="53" totalsRowDxfId="51" headerRowBorderDxfId="54" tableBorderDxfId="52" totalsRowBorderDxfId="50">
  <tableColumns count="9">
    <tableColumn id="1" xr3:uid="{00000000-0010-0000-0000-000001000000}" name="Bill No." dataDxfId="17" totalsRowDxfId="16"/>
    <tableColumn id="2" xr3:uid="{00000000-0010-0000-0000-000002000000}" name="Bill Date" dataDxfId="15" totalsRowDxfId="14"/>
    <tableColumn id="10" xr3:uid="{00000000-0010-0000-0000-00000A000000}" name="Bill Amount" totalsRowFunction="sum" dataDxfId="13" totalsRowDxfId="12" dataCellStyle="Comma"/>
    <tableColumn id="11" xr3:uid="{00000000-0010-0000-0000-00000B000000}" name="Bill Amount_x000a_for Price Adj." totalsRowFunction="sum" dataDxfId="11" totalsRowDxfId="10" dataCellStyle="Comma">
      <calculatedColumnFormula>Table2[[#This Row],[Bill Amount]]</calculatedColumnFormula>
    </tableColumn>
    <tableColumn id="3" xr3:uid="{00000000-0010-0000-0000-000003000000}" name="l" dataDxfId="9" totalsRowDxfId="8">
      <calculatedColumnFormula>nrb(Table2[[#This Row],[Bill Date]],Table2[[#Headers],[l]])</calculatedColumnFormula>
    </tableColumn>
    <tableColumn id="4" xr3:uid="{00000000-0010-0000-0000-000004000000}" name="m" dataDxfId="7" totalsRowDxfId="6">
      <calculatedColumnFormula>nrb(Table2[[#This Row],[Bill Date]],Table2[[#Headers],[m]])</calculatedColumnFormula>
    </tableColumn>
    <tableColumn id="5" xr3:uid="{00000000-0010-0000-0000-000005000000}" name="n" dataDxfId="5" totalsRowDxfId="4">
      <calculatedColumnFormula>nrb(Table2[[#This Row],[Bill Date]],Table2[[#Headers],[n]])</calculatedColumnFormula>
    </tableColumn>
    <tableColumn id="6" xr3:uid="{00000000-0010-0000-0000-000006000000}" name="Price Adj._x000a_factor" totalsRowLabel="TOTAL" dataDxfId="3" totalsRowDxfId="2">
      <calculatedColumnFormula>a+
b*Table2[[#This Row],[l]]/lo+
c_*Table2[[#This Row],[m]]/mo+
d*Table2[[#This Row],[n]]/no</calculatedColumnFormula>
    </tableColumn>
    <tableColumn id="9" xr3:uid="{00000000-0010-0000-0000-000009000000}" name="Net Price Adj._x000a_Amount" totalsRowFunction="sum" dataDxfId="1" totalsRowDxfId="0" dataCellStyle="Comma">
      <calculatedColumnFormula>(Table2[[#This Row],[Price Adj.
factor]]-1) * Table2[[#This Row],[Bill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ED31A8-4A30-40E7-97F0-52818E5F3450}" name="Table24" displayName="Table24" ref="A14:I19" totalsRowCount="1" headerRowDxfId="47" dataDxfId="45" totalsRowDxfId="43" headerRowBorderDxfId="46" tableBorderDxfId="44" totalsRowBorderDxfId="42">
  <tableColumns count="9">
    <tableColumn id="1" xr3:uid="{1888123D-36AF-446A-92A4-99EBE13C857F}" name="Bill No." dataDxfId="41" totalsRowDxfId="40"/>
    <tableColumn id="2" xr3:uid="{8B06FF7B-B8FB-4607-8A04-3132E1461472}" name="Bill Date" dataDxfId="39" totalsRowDxfId="38"/>
    <tableColumn id="10" xr3:uid="{AB87A04F-67DC-401F-85F8-CCB70A6B0D7C}" name="Bill Amount" totalsRowFunction="sum" dataDxfId="37" totalsRowDxfId="36" dataCellStyle="Comma"/>
    <tableColumn id="11" xr3:uid="{B237D9A4-4CC0-4B09-8541-5BA56A5EBAAE}" name="Bill Amount_x000a_for Price Adj." totalsRowFunction="sum" dataDxfId="35" totalsRowDxfId="34" dataCellStyle="Comma">
      <calculatedColumnFormula>Table24[[#This Row],[Bill Amount]]</calculatedColumnFormula>
    </tableColumn>
    <tableColumn id="3" xr3:uid="{30F6467A-D361-40AF-8A71-16E95FF9F741}" name="l" dataDxfId="33" totalsRowDxfId="32">
      <calculatedColumnFormula>ADnrb(Table24[[#This Row],[Bill Date]],Table24[[#Headers],[l]])</calculatedColumnFormula>
    </tableColumn>
    <tableColumn id="4" xr3:uid="{48BE5BC1-6E81-4791-B9E2-25232BACB2A7}" name="m" dataDxfId="31" totalsRowDxfId="30">
      <calculatedColumnFormula>ADnrb(Table24[[#This Row],[Bill Date]],Table24[[#Headers],[m]])</calculatedColumnFormula>
    </tableColumn>
    <tableColumn id="5" xr3:uid="{5EC6059E-CC6F-4210-A290-B3FB6C3E8E7F}" name="n" dataDxfId="29" totalsRowDxfId="28">
      <calculatedColumnFormula>ADnrb(Table24[[#This Row],[Bill Date]],Table24[[#Headers],[n]])</calculatedColumnFormula>
    </tableColumn>
    <tableColumn id="6" xr3:uid="{6588019E-9B55-4DA2-A87C-F33C2982CA70}" name="Price Adj._x000a_factor" totalsRowLabel="TOTAL" dataDxfId="27" totalsRowDxfId="26">
      <calculatedColumnFormula>a+
b*Table24[[#This Row],[l]]/lo+
c_*Table24[[#This Row],[m]]/mo+
d*Table24[[#This Row],[n]]/no</calculatedColumnFormula>
    </tableColumn>
    <tableColumn id="9" xr3:uid="{B900CA5F-AC3F-4C8C-A5E9-EFB1D5D57D4F}" name="Net Price Adj._x000a_Amount" totalsRowFunction="sum" dataDxfId="25" totalsRowDxfId="24" dataCellStyle="Comma">
      <calculatedColumnFormula>(Table24[[#This Row],[Price Adj.
factor]]-1) * Table24[[#This Row],[Bill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E103" totalsRowShown="0">
  <autoFilter ref="A1:E103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100-000001000000}" name="SN" dataDxfId="21"/>
    <tableColumn id="2" xr3:uid="{00000000-0010-0000-0100-000002000000}" name="Date"/>
    <tableColumn id="3" xr3:uid="{00000000-0010-0000-0100-000003000000}" name="Labour" dataDxfId="20"/>
    <tableColumn id="4" xr3:uid="{00000000-0010-0000-0100-000004000000}" name="Material" dataDxfId="19"/>
    <tableColumn id="5" xr3:uid="{00000000-0010-0000-0100-000005000000}" name="Equipment" dataDxfId="1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K94"/>
  <sheetViews>
    <sheetView tabSelected="1" zoomScaleNormal="100" zoomScaleSheetLayoutView="100" workbookViewId="0">
      <selection activeCell="C3" sqref="C3:I3"/>
    </sheetView>
  </sheetViews>
  <sheetFormatPr defaultRowHeight="15"/>
  <cols>
    <col min="1" max="1" width="15.140625" style="6" customWidth="1"/>
    <col min="2" max="2" width="11.5703125" style="6" bestFit="1" customWidth="1"/>
    <col min="3" max="4" width="21.42578125" style="6" customWidth="1"/>
    <col min="5" max="7" width="8.42578125" style="6" bestFit="1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38" t="s">
        <v>63</v>
      </c>
      <c r="B1" s="38"/>
      <c r="C1" s="38"/>
      <c r="D1" s="38"/>
      <c r="E1" s="38"/>
      <c r="F1" s="38"/>
      <c r="G1" s="38"/>
      <c r="H1" s="38"/>
      <c r="I1" s="38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29.25" customHeight="1">
      <c r="A3" s="42" t="s">
        <v>43</v>
      </c>
      <c r="B3" s="42"/>
      <c r="C3" s="45"/>
      <c r="D3" s="45"/>
      <c r="E3" s="45"/>
      <c r="F3" s="45"/>
      <c r="G3" s="45"/>
      <c r="H3" s="45"/>
      <c r="I3" s="45"/>
    </row>
    <row r="4" spans="1:11">
      <c r="A4" s="43" t="s">
        <v>44</v>
      </c>
      <c r="B4" s="43"/>
      <c r="C4" s="46"/>
      <c r="D4" s="46"/>
      <c r="E4" s="46"/>
      <c r="F4" s="46"/>
      <c r="G4" s="46"/>
      <c r="H4" s="46"/>
      <c r="I4" s="46"/>
    </row>
    <row r="5" spans="1:11">
      <c r="A5" s="9"/>
      <c r="B5" s="9"/>
    </row>
    <row r="6" spans="1:11">
      <c r="A6" s="44" t="s">
        <v>72</v>
      </c>
      <c r="B6" s="41" t="s">
        <v>45</v>
      </c>
      <c r="C6" s="41"/>
      <c r="D6" s="41"/>
    </row>
    <row r="7" spans="1:11" ht="18">
      <c r="A7" s="44"/>
      <c r="B7" s="10" t="s">
        <v>49</v>
      </c>
      <c r="C7" s="10" t="s">
        <v>53</v>
      </c>
      <c r="D7" s="10" t="s">
        <v>54</v>
      </c>
      <c r="E7" s="2"/>
    </row>
    <row r="8" spans="1:11">
      <c r="A8" s="22" t="s">
        <v>68</v>
      </c>
      <c r="B8" s="11">
        <f>nrb($A$8,"l")</f>
        <v>500.8</v>
      </c>
      <c r="C8" s="11">
        <f>nrb($A$8,"m")</f>
        <v>102.4</v>
      </c>
      <c r="D8" s="11">
        <f>nrb($A$8,"n")</f>
        <v>107.4</v>
      </c>
      <c r="E8" s="12"/>
    </row>
    <row r="10" spans="1:11">
      <c r="A10" s="41" t="s">
        <v>60</v>
      </c>
      <c r="B10" s="41"/>
      <c r="C10" s="41"/>
      <c r="D10" s="41"/>
      <c r="E10" s="41"/>
      <c r="H10" s="16"/>
    </row>
    <row r="11" spans="1:11">
      <c r="A11" s="10" t="s">
        <v>55</v>
      </c>
      <c r="B11" s="10" t="s">
        <v>56</v>
      </c>
      <c r="C11" s="10" t="s">
        <v>57</v>
      </c>
      <c r="D11" s="10" t="s">
        <v>58</v>
      </c>
      <c r="E11" s="13" t="s">
        <v>61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>
      <c r="K13" s="24"/>
    </row>
    <row r="14" spans="1:11" ht="30">
      <c r="A14" s="3" t="s">
        <v>46</v>
      </c>
      <c r="B14" s="4" t="s">
        <v>47</v>
      </c>
      <c r="C14" s="4" t="s">
        <v>48</v>
      </c>
      <c r="D14" s="5" t="s">
        <v>64</v>
      </c>
      <c r="E14" s="4" t="s">
        <v>50</v>
      </c>
      <c r="F14" s="4" t="s">
        <v>51</v>
      </c>
      <c r="G14" s="4" t="s">
        <v>52</v>
      </c>
      <c r="H14" s="5" t="s">
        <v>59</v>
      </c>
      <c r="I14" s="23" t="s">
        <v>65</v>
      </c>
      <c r="K14" s="24"/>
    </row>
    <row r="15" spans="1:11">
      <c r="A15" s="29">
        <v>1</v>
      </c>
      <c r="B15" s="21" t="s">
        <v>70</v>
      </c>
      <c r="C15" s="14"/>
      <c r="D15" s="14">
        <f>Table2[[#This Row],[Bill Amount]]</f>
        <v>0</v>
      </c>
      <c r="E15" s="15">
        <f>nrb(Table2[[#This Row],[Bill Date]],Table2[[#Headers],[l]])</f>
        <v>501</v>
      </c>
      <c r="F15" s="15">
        <f>nrb(Table2[[#This Row],[Bill Date]],Table2[[#Headers],[m]])</f>
        <v>105</v>
      </c>
      <c r="G15" s="15">
        <f>nrb(Table2[[#This Row],[Bill Date]],Table2[[#Headers],[n]])</f>
        <v>112.7</v>
      </c>
      <c r="H15" s="11">
        <f>a+
b*Table2[[#This Row],[l]]/lo+
c_*Table2[[#This Row],[m]]/mo+
d*Table2[[#This Row],[n]]/no</f>
        <v>0.15</v>
      </c>
      <c r="I15" s="7">
        <f>(Table2[[#This Row],[Price Adj.
factor]]-1) * Table2[[#This Row],[Bill Amount
for Price Adj.]]</f>
        <v>0</v>
      </c>
      <c r="K15" s="27"/>
    </row>
    <row r="16" spans="1:11">
      <c r="A16" s="29"/>
      <c r="B16" s="21" t="s">
        <v>73</v>
      </c>
      <c r="C16" s="7"/>
      <c r="D16" s="14">
        <f>Table2[[#This Row],[Bill Amount]]</f>
        <v>0</v>
      </c>
      <c r="E16" s="15">
        <f>nrb(Table2[[#This Row],[Bill Date]],Table2[[#Headers],[l]])</f>
        <v>501</v>
      </c>
      <c r="F16" s="15">
        <f>nrb(Table2[[#This Row],[Bill Date]],Table2[[#Headers],[m]])</f>
        <v>105</v>
      </c>
      <c r="G16" s="15">
        <f>nrb(Table2[[#This Row],[Bill Date]],Table2[[#Headers],[n]])</f>
        <v>112.7</v>
      </c>
      <c r="H16" s="11">
        <f>a+
b*Table2[[#This Row],[l]]/lo+
c_*Table2[[#This Row],[m]]/mo+
d*Table2[[#This Row],[n]]/no</f>
        <v>0.15</v>
      </c>
      <c r="I16" s="7">
        <f>(Table2[[#This Row],[Price Adj.
factor]]-1) * Table2[[#This Row],[Bill Amount
for Price Adj.]]</f>
        <v>0</v>
      </c>
    </row>
    <row r="17" spans="1:11">
      <c r="A17" s="29"/>
      <c r="B17" s="21" t="s">
        <v>74</v>
      </c>
      <c r="C17" s="7"/>
      <c r="D17" s="14">
        <f>Table2[[#This Row],[Bill Amount]]</f>
        <v>0</v>
      </c>
      <c r="E17" s="15">
        <f>nrb(Table2[[#This Row],[Bill Date]],Table2[[#Headers],[l]])</f>
        <v>501</v>
      </c>
      <c r="F17" s="15">
        <f>nrb(Table2[[#This Row],[Bill Date]],Table2[[#Headers],[m]])</f>
        <v>105</v>
      </c>
      <c r="G17" s="15">
        <f>nrb(Table2[[#This Row],[Bill Date]],Table2[[#Headers],[n]])</f>
        <v>112.7</v>
      </c>
      <c r="H17" s="11">
        <f>a+
b*Table2[[#This Row],[l]]/lo+
c_*Table2[[#This Row],[m]]/mo+
d*Table2[[#This Row],[n]]/no</f>
        <v>0.15</v>
      </c>
      <c r="I17" s="7">
        <f>(Table2[[#This Row],[Price Adj.
factor]]-1) * Table2[[#This Row],[Bill Amount
for Price Adj.]]</f>
        <v>0</v>
      </c>
      <c r="K17" s="20"/>
    </row>
    <row r="18" spans="1:11" ht="15.75" thickBot="1">
      <c r="A18" s="31"/>
      <c r="B18" s="21" t="s">
        <v>75</v>
      </c>
      <c r="C18" s="37"/>
      <c r="D18" s="30">
        <f>Table2[[#This Row],[Bill Amount]]</f>
        <v>0</v>
      </c>
      <c r="E18" s="32">
        <f>nrb(Table2[[#This Row],[Bill Date]],Table2[[#Headers],[l]])</f>
        <v>501</v>
      </c>
      <c r="F18" s="32">
        <f>nrb(Table2[[#This Row],[Bill Date]],Table2[[#Headers],[m]])</f>
        <v>105</v>
      </c>
      <c r="G18" s="32">
        <f>nrb(Table2[[#This Row],[Bill Date]],Table2[[#Headers],[n]])</f>
        <v>112.7</v>
      </c>
      <c r="H18" s="33">
        <f>a+
b*Table2[[#This Row],[l]]/lo+
c_*Table2[[#This Row],[m]]/mo+
d*Table2[[#This Row],[n]]/no</f>
        <v>0.15</v>
      </c>
      <c r="I18" s="37">
        <f>(Table2[[#This Row],[Price Adj.
factor]]-1) * Table2[[#This Row],[Bill Amount
for Price Adj.]]</f>
        <v>0</v>
      </c>
      <c r="K18" s="20"/>
    </row>
    <row r="19" spans="1:11" ht="15.75" thickTop="1">
      <c r="A19" s="34"/>
      <c r="B19" s="34"/>
      <c r="C19" s="34">
        <f>SUBTOTAL(109,Table2[Bill Amount])</f>
        <v>0</v>
      </c>
      <c r="D19" s="34">
        <f>SUBTOTAL(109,Table2[Bill Amount
for Price Adj.])</f>
        <v>0</v>
      </c>
      <c r="E19" s="34"/>
      <c r="F19" s="34"/>
      <c r="G19" s="34"/>
      <c r="H19" s="35" t="s">
        <v>61</v>
      </c>
      <c r="I19" s="36">
        <f>SUBTOTAL(109,Table2[Net Price Adj.
Amount])</f>
        <v>0</v>
      </c>
      <c r="K19" s="20"/>
    </row>
    <row r="20" spans="1:11">
      <c r="A20" s="39" t="s">
        <v>62</v>
      </c>
      <c r="B20" s="39"/>
      <c r="C20" s="39"/>
      <c r="D20" s="39"/>
      <c r="E20" s="39"/>
      <c r="F20" s="39"/>
      <c r="G20" s="39"/>
      <c r="H20" s="39"/>
      <c r="I20" s="39"/>
      <c r="K20" s="20"/>
    </row>
    <row r="21" spans="1:11">
      <c r="A21" s="40" t="s">
        <v>66</v>
      </c>
      <c r="B21" s="40"/>
      <c r="C21" s="40"/>
      <c r="D21" s="40"/>
      <c r="E21" s="40"/>
      <c r="F21" s="40"/>
      <c r="G21" s="40"/>
      <c r="H21" s="40"/>
      <c r="I21" s="40"/>
      <c r="K21" s="20"/>
    </row>
    <row r="22" spans="1:11">
      <c r="A22" s="40" t="s">
        <v>67</v>
      </c>
      <c r="B22" s="40"/>
      <c r="C22" s="40"/>
      <c r="D22" s="40"/>
      <c r="E22" s="40"/>
      <c r="F22" s="40"/>
      <c r="G22" s="40"/>
      <c r="H22" s="40"/>
      <c r="I22" s="40"/>
    </row>
    <row r="91" spans="1:2">
      <c r="A91" s="16"/>
    </row>
    <row r="93" spans="1:2">
      <c r="B93" s="16"/>
    </row>
    <row r="94" spans="1:2">
      <c r="B94" s="16"/>
    </row>
  </sheetData>
  <mergeCells count="11">
    <mergeCell ref="A1:I1"/>
    <mergeCell ref="A20:I20"/>
    <mergeCell ref="A21:I21"/>
    <mergeCell ref="A22:I22"/>
    <mergeCell ref="A10:E10"/>
    <mergeCell ref="A3:B3"/>
    <mergeCell ref="A4:B4"/>
    <mergeCell ref="B6:D6"/>
    <mergeCell ref="A6:A7"/>
    <mergeCell ref="C3:I3"/>
    <mergeCell ref="C4:I4"/>
  </mergeCells>
  <phoneticPr fontId="10" type="noConversion"/>
  <conditionalFormatting sqref="I15:I19">
    <cfRule type="cellIs" dxfId="56" priority="6" operator="lessThan">
      <formula>0</formula>
    </cfRule>
  </conditionalFormatting>
  <printOptions horizontalCentered="1"/>
  <pageMargins left="0.7" right="0.7" top="0.75" bottom="0.75" header="0.3" footer="0.3"/>
  <pageSetup paperSize="9" fitToHeight="0" orientation="landscape" horizontalDpi="1200" verticalDpi="12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5F7F-2B2E-4FD9-AA7C-3D3864F8219C}">
  <sheetPr codeName="Sheet3">
    <tabColor rgb="FF00B0F0"/>
  </sheetPr>
  <dimension ref="A1:K94"/>
  <sheetViews>
    <sheetView zoomScaleNormal="100" zoomScaleSheetLayoutView="100" workbookViewId="0">
      <selection activeCell="C3" sqref="C3:I3"/>
    </sheetView>
  </sheetViews>
  <sheetFormatPr defaultRowHeight="15"/>
  <cols>
    <col min="1" max="1" width="14.85546875" style="6" customWidth="1"/>
    <col min="2" max="2" width="11.5703125" style="6" bestFit="1" customWidth="1"/>
    <col min="3" max="4" width="21.42578125" style="6" customWidth="1"/>
    <col min="5" max="7" width="8.42578125" style="6" bestFit="1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38" t="s">
        <v>63</v>
      </c>
      <c r="B1" s="38"/>
      <c r="C1" s="38"/>
      <c r="D1" s="38"/>
      <c r="E1" s="38"/>
      <c r="F1" s="38"/>
      <c r="G1" s="38"/>
      <c r="H1" s="38"/>
      <c r="I1" s="38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29.25" customHeight="1">
      <c r="A3" s="42" t="s">
        <v>43</v>
      </c>
      <c r="B3" s="42"/>
      <c r="C3" s="45"/>
      <c r="D3" s="45"/>
      <c r="E3" s="45"/>
      <c r="F3" s="45"/>
      <c r="G3" s="45"/>
      <c r="H3" s="45"/>
      <c r="I3" s="45"/>
    </row>
    <row r="4" spans="1:11">
      <c r="A4" s="43" t="s">
        <v>44</v>
      </c>
      <c r="B4" s="43"/>
      <c r="C4" s="46"/>
      <c r="D4" s="46"/>
      <c r="E4" s="46"/>
      <c r="F4" s="46"/>
      <c r="G4" s="46"/>
      <c r="H4" s="46"/>
      <c r="I4" s="46"/>
    </row>
    <row r="5" spans="1:11">
      <c r="A5" s="9"/>
      <c r="B5" s="9"/>
    </row>
    <row r="6" spans="1:11">
      <c r="A6" s="44" t="s">
        <v>72</v>
      </c>
      <c r="B6" s="41" t="s">
        <v>45</v>
      </c>
      <c r="C6" s="41"/>
      <c r="D6" s="41"/>
    </row>
    <row r="7" spans="1:11" ht="18">
      <c r="A7" s="44"/>
      <c r="B7" s="26" t="s">
        <v>49</v>
      </c>
      <c r="C7" s="26" t="s">
        <v>53</v>
      </c>
      <c r="D7" s="26" t="s">
        <v>54</v>
      </c>
      <c r="E7" s="2"/>
    </row>
    <row r="8" spans="1:11">
      <c r="A8" s="22" t="s">
        <v>69</v>
      </c>
      <c r="B8" s="11">
        <f>ADnrb($A$8,"l")</f>
        <v>500.8</v>
      </c>
      <c r="C8" s="11">
        <f>ADnrb($A$8,"m")</f>
        <v>102.4</v>
      </c>
      <c r="D8" s="11">
        <f>ADnrb($A$8,"n")</f>
        <v>107.4</v>
      </c>
      <c r="E8" s="12"/>
    </row>
    <row r="10" spans="1:11">
      <c r="A10" s="41" t="s">
        <v>60</v>
      </c>
      <c r="B10" s="41"/>
      <c r="C10" s="41"/>
      <c r="D10" s="41"/>
      <c r="E10" s="41"/>
      <c r="H10" s="16"/>
    </row>
    <row r="11" spans="1:11">
      <c r="A11" s="26" t="s">
        <v>55</v>
      </c>
      <c r="B11" s="26" t="s">
        <v>56</v>
      </c>
      <c r="C11" s="26" t="s">
        <v>57</v>
      </c>
      <c r="D11" s="26" t="s">
        <v>58</v>
      </c>
      <c r="E11" s="13" t="s">
        <v>61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>
      <c r="K13" s="24"/>
    </row>
    <row r="14" spans="1:11" ht="30">
      <c r="A14" s="3" t="s">
        <v>46</v>
      </c>
      <c r="B14" s="4" t="s">
        <v>47</v>
      </c>
      <c r="C14" s="4" t="s">
        <v>48</v>
      </c>
      <c r="D14" s="5" t="s">
        <v>64</v>
      </c>
      <c r="E14" s="4" t="s">
        <v>50</v>
      </c>
      <c r="F14" s="4" t="s">
        <v>51</v>
      </c>
      <c r="G14" s="4" t="s">
        <v>52</v>
      </c>
      <c r="H14" s="5" t="s">
        <v>59</v>
      </c>
      <c r="I14" s="23" t="s">
        <v>65</v>
      </c>
      <c r="K14" s="24"/>
    </row>
    <row r="15" spans="1:11">
      <c r="A15" s="29">
        <v>1</v>
      </c>
      <c r="B15" s="21" t="s">
        <v>71</v>
      </c>
      <c r="C15" s="14"/>
      <c r="D15" s="14">
        <f>Table24[[#This Row],[Bill Amount]]</f>
        <v>0</v>
      </c>
      <c r="E15" s="15">
        <f>ADnrb(Table24[[#This Row],[Bill Date]],Table24[[#Headers],[l]])</f>
        <v>501</v>
      </c>
      <c r="F15" s="15">
        <f>ADnrb(Table24[[#This Row],[Bill Date]],Table24[[#Headers],[m]])</f>
        <v>105</v>
      </c>
      <c r="G15" s="15">
        <f>ADnrb(Table24[[#This Row],[Bill Date]],Table24[[#Headers],[n]])</f>
        <v>112.7</v>
      </c>
      <c r="H15" s="11">
        <f>a+
b*Table24[[#This Row],[l]]/lo+
c_*Table24[[#This Row],[m]]/mo+
d*Table24[[#This Row],[n]]/no</f>
        <v>0.15</v>
      </c>
      <c r="I15" s="7">
        <f>(Table24[[#This Row],[Price Adj.
factor]]-1) * Table24[[#This Row],[Bill Amount
for Price Adj.]]</f>
        <v>0</v>
      </c>
      <c r="K15" s="28"/>
    </row>
    <row r="16" spans="1:11">
      <c r="A16" s="29"/>
      <c r="B16" s="21" t="s">
        <v>76</v>
      </c>
      <c r="C16" s="14"/>
      <c r="D16" s="7">
        <f>Table24[[#This Row],[Bill Amount]]</f>
        <v>0</v>
      </c>
      <c r="E16" s="15">
        <f>ADnrb(Table24[[#This Row],[Bill Date]],Table24[[#Headers],[l]])</f>
        <v>501</v>
      </c>
      <c r="F16" s="15">
        <f>ADnrb(Table24[[#This Row],[Bill Date]],Table24[[#Headers],[m]])</f>
        <v>105</v>
      </c>
      <c r="G16" s="15">
        <f>ADnrb(Table24[[#This Row],[Bill Date]],Table24[[#Headers],[n]])</f>
        <v>112.7</v>
      </c>
      <c r="H16" s="11">
        <f>a+
b*Table24[[#This Row],[l]]/lo+
c_*Table24[[#This Row],[m]]/mo+
d*Table24[[#This Row],[n]]/no</f>
        <v>0.15</v>
      </c>
      <c r="I16" s="7">
        <f>(Table24[[#This Row],[Price Adj.
factor]]-1) * Table24[[#This Row],[Bill Amount
for Price Adj.]]</f>
        <v>0</v>
      </c>
      <c r="K16" s="20"/>
    </row>
    <row r="17" spans="1:11">
      <c r="A17" s="29"/>
      <c r="B17" s="21" t="s">
        <v>77</v>
      </c>
      <c r="C17" s="14"/>
      <c r="D17" s="7">
        <f>Table24[[#This Row],[Bill Amount]]</f>
        <v>0</v>
      </c>
      <c r="E17" s="15">
        <f>ADnrb(Table24[[#This Row],[Bill Date]],Table24[[#Headers],[l]])</f>
        <v>501</v>
      </c>
      <c r="F17" s="15">
        <f>ADnrb(Table24[[#This Row],[Bill Date]],Table24[[#Headers],[m]])</f>
        <v>105</v>
      </c>
      <c r="G17" s="15">
        <f>ADnrb(Table24[[#This Row],[Bill Date]],Table24[[#Headers],[n]])</f>
        <v>112.7</v>
      </c>
      <c r="H17" s="11">
        <f>a+
b*Table24[[#This Row],[l]]/lo+
c_*Table24[[#This Row],[m]]/mo+
d*Table24[[#This Row],[n]]/no</f>
        <v>0.15</v>
      </c>
      <c r="I17" s="7">
        <f>(Table24[[#This Row],[Price Adj.
factor]]-1) * Table24[[#This Row],[Bill Amount
for Price Adj.]]</f>
        <v>0</v>
      </c>
      <c r="K17" s="20"/>
    </row>
    <row r="18" spans="1:11" ht="15.75" thickBot="1">
      <c r="A18" s="29"/>
      <c r="B18" s="21" t="s">
        <v>78</v>
      </c>
      <c r="C18" s="14"/>
      <c r="D18" s="7">
        <f>Table24[[#This Row],[Bill Amount]]</f>
        <v>0</v>
      </c>
      <c r="E18" s="15">
        <f>ADnrb(Table24[[#This Row],[Bill Date]],Table24[[#Headers],[l]])</f>
        <v>501</v>
      </c>
      <c r="F18" s="15">
        <f>ADnrb(Table24[[#This Row],[Bill Date]],Table24[[#Headers],[m]])</f>
        <v>105</v>
      </c>
      <c r="G18" s="15">
        <f>ADnrb(Table24[[#This Row],[Bill Date]],Table24[[#Headers],[n]])</f>
        <v>112.7</v>
      </c>
      <c r="H18" s="11">
        <f>a+
b*Table24[[#This Row],[l]]/lo+
c_*Table24[[#This Row],[m]]/mo+
d*Table24[[#This Row],[n]]/no</f>
        <v>0.15</v>
      </c>
      <c r="I18" s="7">
        <f>(Table24[[#This Row],[Price Adj.
factor]]-1) * Table24[[#This Row],[Bill Amount
for Price Adj.]]</f>
        <v>0</v>
      </c>
      <c r="K18" s="20"/>
    </row>
    <row r="19" spans="1:11" ht="15.75" thickTop="1">
      <c r="A19" s="34"/>
      <c r="B19" s="34"/>
      <c r="C19" s="34">
        <f>SUBTOTAL(109,Table24[Bill Amount])</f>
        <v>0</v>
      </c>
      <c r="D19" s="34">
        <f>SUBTOTAL(109,Table24[Bill Amount
for Price Adj.])</f>
        <v>0</v>
      </c>
      <c r="E19" s="34"/>
      <c r="F19" s="34"/>
      <c r="G19" s="34"/>
      <c r="H19" s="35" t="s">
        <v>61</v>
      </c>
      <c r="I19" s="36">
        <f>SUBTOTAL(109,Table24[Net Price Adj.
Amount])</f>
        <v>0</v>
      </c>
      <c r="K19" s="20"/>
    </row>
    <row r="20" spans="1:11">
      <c r="A20" s="39" t="s">
        <v>62</v>
      </c>
      <c r="B20" s="39"/>
      <c r="C20" s="39"/>
      <c r="D20" s="39"/>
      <c r="E20" s="39"/>
      <c r="F20" s="39"/>
      <c r="G20" s="39"/>
      <c r="H20" s="39"/>
      <c r="I20" s="39"/>
    </row>
    <row r="21" spans="1:11">
      <c r="A21" s="47" t="s">
        <v>66</v>
      </c>
      <c r="B21" s="47"/>
      <c r="C21" s="47"/>
      <c r="D21" s="47"/>
      <c r="E21" s="47"/>
      <c r="F21" s="47"/>
      <c r="G21" s="47"/>
      <c r="H21" s="47"/>
      <c r="I21" s="47"/>
    </row>
    <row r="22" spans="1:11">
      <c r="A22" s="47" t="s">
        <v>67</v>
      </c>
      <c r="B22" s="47"/>
      <c r="C22" s="47"/>
      <c r="D22" s="47"/>
      <c r="E22" s="47"/>
      <c r="F22" s="47"/>
      <c r="G22" s="47"/>
      <c r="H22" s="47"/>
      <c r="I22" s="47"/>
    </row>
    <row r="91" spans="1:2">
      <c r="A91" s="16"/>
    </row>
    <row r="93" spans="1:2">
      <c r="B93" s="16"/>
    </row>
    <row r="94" spans="1:2">
      <c r="B94" s="16"/>
    </row>
  </sheetData>
  <mergeCells count="11">
    <mergeCell ref="A10:E10"/>
    <mergeCell ref="A20:I20"/>
    <mergeCell ref="A21:I21"/>
    <mergeCell ref="A22:I22"/>
    <mergeCell ref="A1:I1"/>
    <mergeCell ref="A3:B3"/>
    <mergeCell ref="C3:I3"/>
    <mergeCell ref="A4:B4"/>
    <mergeCell ref="C4:I4"/>
    <mergeCell ref="A6:A7"/>
    <mergeCell ref="B6:D6"/>
  </mergeCells>
  <phoneticPr fontId="10" type="noConversion"/>
  <conditionalFormatting sqref="I15:I18">
    <cfRule type="cellIs" dxfId="49" priority="4" operator="lessThan">
      <formula>0</formula>
    </cfRule>
  </conditionalFormatting>
  <conditionalFormatting sqref="I19">
    <cfRule type="cellIs" dxfId="48" priority="1" operator="lessThan">
      <formula>0</formula>
    </cfRule>
  </conditionalFormatting>
  <printOptions horizontalCentered="1"/>
  <pageMargins left="0.7" right="0.7" top="0.75" bottom="0.75" header="0.3" footer="0.3"/>
  <pageSetup paperSize="9" fitToHeight="0" orientation="landscape" horizontalDpi="1200" verticalDpi="12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I104"/>
  <sheetViews>
    <sheetView topLeftCell="A86" workbookViewId="0">
      <selection activeCell="A104" sqref="A104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5" width="12.85546875" customWidth="1"/>
    <col min="7" max="7" width="10" bestFit="1" customWidth="1"/>
    <col min="8" max="9" width="10.425781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9">
      <c r="A2" s="19">
        <v>1999</v>
      </c>
      <c r="B2" t="s">
        <v>5</v>
      </c>
      <c r="C2" s="25"/>
      <c r="D2" s="25">
        <v>30.8</v>
      </c>
      <c r="E2" s="25">
        <v>39.1</v>
      </c>
    </row>
    <row r="3" spans="1:9">
      <c r="A3" s="19">
        <v>2000</v>
      </c>
      <c r="B3" t="s">
        <v>31</v>
      </c>
      <c r="C3" s="25"/>
      <c r="D3" s="25">
        <v>31.9</v>
      </c>
      <c r="E3" s="25">
        <v>40</v>
      </c>
    </row>
    <row r="4" spans="1:9">
      <c r="A4" s="19">
        <v>2001</v>
      </c>
      <c r="B4" t="s">
        <v>32</v>
      </c>
      <c r="C4" s="25"/>
      <c r="D4" s="25">
        <v>33.5</v>
      </c>
      <c r="E4" s="25">
        <v>39.799999999999997</v>
      </c>
    </row>
    <row r="5" spans="1:9">
      <c r="A5" s="19">
        <v>2002</v>
      </c>
      <c r="B5" t="s">
        <v>33</v>
      </c>
      <c r="C5" s="25"/>
      <c r="D5" s="25">
        <v>33.700000000000003</v>
      </c>
      <c r="E5" s="25">
        <v>39.799999999999997</v>
      </c>
    </row>
    <row r="6" spans="1:9">
      <c r="A6" s="19">
        <v>2003</v>
      </c>
      <c r="B6" t="s">
        <v>34</v>
      </c>
      <c r="C6" s="25"/>
      <c r="D6" s="25">
        <v>38.9</v>
      </c>
      <c r="E6" s="25">
        <v>42</v>
      </c>
    </row>
    <row r="7" spans="1:9">
      <c r="A7" s="19">
        <v>2004</v>
      </c>
      <c r="B7" t="s">
        <v>35</v>
      </c>
      <c r="C7" s="25">
        <v>100</v>
      </c>
      <c r="D7" s="25">
        <v>44.9</v>
      </c>
      <c r="E7" s="25">
        <v>46.2</v>
      </c>
    </row>
    <row r="8" spans="1:9">
      <c r="A8" s="19">
        <v>2005</v>
      </c>
      <c r="B8" t="s">
        <v>36</v>
      </c>
      <c r="C8" s="25">
        <v>101.3</v>
      </c>
      <c r="D8" s="25">
        <v>45.8</v>
      </c>
      <c r="E8" s="25">
        <v>49.3</v>
      </c>
      <c r="I8" s="1"/>
    </row>
    <row r="9" spans="1:9">
      <c r="A9" s="19">
        <v>2006</v>
      </c>
      <c r="B9" t="s">
        <v>37</v>
      </c>
      <c r="C9" s="25">
        <v>109.1</v>
      </c>
      <c r="D9" s="25">
        <v>53</v>
      </c>
      <c r="E9" s="25">
        <v>50.8</v>
      </c>
    </row>
    <row r="10" spans="1:9">
      <c r="A10" s="19">
        <v>2007</v>
      </c>
      <c r="B10" t="s">
        <v>38</v>
      </c>
      <c r="C10" s="25">
        <v>120.2</v>
      </c>
      <c r="D10" s="25">
        <v>60.4</v>
      </c>
      <c r="E10" s="25">
        <v>55.4</v>
      </c>
    </row>
    <row r="11" spans="1:9">
      <c r="A11" s="19">
        <v>2008</v>
      </c>
      <c r="B11" t="s">
        <v>39</v>
      </c>
      <c r="C11" s="25">
        <v>138.6</v>
      </c>
      <c r="D11" s="25">
        <v>67</v>
      </c>
      <c r="E11" s="25">
        <v>66.599999999999994</v>
      </c>
    </row>
    <row r="12" spans="1:9">
      <c r="A12" s="19">
        <v>2009</v>
      </c>
      <c r="B12" t="s">
        <v>40</v>
      </c>
      <c r="C12" s="25">
        <v>156.6</v>
      </c>
      <c r="D12" s="25">
        <v>69.7</v>
      </c>
      <c r="E12" s="25">
        <v>65.099999999999994</v>
      </c>
    </row>
    <row r="13" spans="1:9">
      <c r="A13" s="19">
        <v>2010</v>
      </c>
      <c r="B13" t="s">
        <v>41</v>
      </c>
      <c r="C13" s="25">
        <v>189.9</v>
      </c>
      <c r="D13" s="25">
        <v>73.3</v>
      </c>
      <c r="E13" s="25">
        <v>68</v>
      </c>
    </row>
    <row r="14" spans="1:9">
      <c r="A14" s="19">
        <v>2011</v>
      </c>
      <c r="B14" t="s">
        <v>42</v>
      </c>
      <c r="C14" s="25">
        <v>250.3</v>
      </c>
      <c r="D14" s="25">
        <v>77.400000000000006</v>
      </c>
      <c r="E14" s="25">
        <v>75.599999999999994</v>
      </c>
    </row>
    <row r="15" spans="1:9">
      <c r="A15" s="19">
        <v>2012</v>
      </c>
      <c r="B15" t="s">
        <v>6</v>
      </c>
      <c r="C15" s="25">
        <v>268.10000000000002</v>
      </c>
      <c r="D15" s="25">
        <v>80.7</v>
      </c>
      <c r="E15" s="25">
        <v>77</v>
      </c>
    </row>
    <row r="16" spans="1:9">
      <c r="A16" s="19">
        <v>2013</v>
      </c>
      <c r="B16" t="s">
        <v>7</v>
      </c>
      <c r="C16" s="25">
        <v>285.89999999999998</v>
      </c>
      <c r="D16" s="25">
        <v>85.2</v>
      </c>
      <c r="E16" s="25">
        <v>75.900000000000006</v>
      </c>
    </row>
    <row r="17" spans="1:9">
      <c r="A17" s="19">
        <v>2014</v>
      </c>
      <c r="B17" t="s">
        <v>8</v>
      </c>
      <c r="C17" s="25">
        <v>322.89999999999998</v>
      </c>
      <c r="D17" s="25">
        <v>89</v>
      </c>
      <c r="E17" s="25">
        <v>76.400000000000006</v>
      </c>
    </row>
    <row r="18" spans="1:9">
      <c r="A18" s="19">
        <v>2015</v>
      </c>
      <c r="B18" t="s">
        <v>9</v>
      </c>
      <c r="C18" s="25">
        <v>354.1</v>
      </c>
      <c r="D18" s="25">
        <v>91.3</v>
      </c>
      <c r="E18" s="25">
        <v>82</v>
      </c>
    </row>
    <row r="19" spans="1:9">
      <c r="A19" s="19">
        <v>2016</v>
      </c>
      <c r="B19" t="s">
        <v>10</v>
      </c>
      <c r="C19" s="25">
        <v>405.7</v>
      </c>
      <c r="D19" s="25">
        <v>90.3</v>
      </c>
      <c r="E19" s="25">
        <v>97</v>
      </c>
    </row>
    <row r="20" spans="1:9">
      <c r="A20" s="17"/>
      <c r="B20" t="s">
        <v>11</v>
      </c>
      <c r="C20" s="25">
        <v>403.3</v>
      </c>
      <c r="D20" s="25">
        <v>88.4</v>
      </c>
      <c r="E20" s="25">
        <v>90.5</v>
      </c>
    </row>
    <row r="21" spans="1:9">
      <c r="A21" s="17">
        <v>2016.08</v>
      </c>
      <c r="B21" t="s">
        <v>12</v>
      </c>
      <c r="C21" s="25">
        <v>403.3</v>
      </c>
      <c r="D21" s="25">
        <v>88.8</v>
      </c>
      <c r="E21" s="25">
        <v>89.3</v>
      </c>
      <c r="H21" s="1"/>
    </row>
    <row r="22" spans="1:9">
      <c r="A22" s="17">
        <v>2016.09</v>
      </c>
      <c r="B22" t="s">
        <v>13</v>
      </c>
      <c r="C22" s="25">
        <v>403.3</v>
      </c>
      <c r="D22" s="25">
        <v>88.4</v>
      </c>
      <c r="E22" s="25">
        <v>91.6</v>
      </c>
      <c r="H22" s="18"/>
    </row>
    <row r="23" spans="1:9">
      <c r="A23" s="17">
        <v>2016.1</v>
      </c>
      <c r="B23" t="s">
        <v>14</v>
      </c>
      <c r="C23" s="25">
        <v>403.3</v>
      </c>
      <c r="D23" s="25">
        <v>87.9</v>
      </c>
      <c r="E23" s="25">
        <v>90.6</v>
      </c>
    </row>
    <row r="24" spans="1:9">
      <c r="A24" s="17"/>
      <c r="B24" t="s">
        <v>15</v>
      </c>
      <c r="C24" s="25">
        <v>403.8</v>
      </c>
      <c r="D24" s="25">
        <v>89.5</v>
      </c>
      <c r="E24" s="25">
        <v>96.4</v>
      </c>
    </row>
    <row r="25" spans="1:9">
      <c r="A25" s="17">
        <v>2016.11</v>
      </c>
      <c r="B25" t="s">
        <v>16</v>
      </c>
      <c r="C25" s="25">
        <v>403.3</v>
      </c>
      <c r="D25" s="25">
        <v>89</v>
      </c>
      <c r="E25" s="25">
        <v>91.6</v>
      </c>
    </row>
    <row r="26" spans="1:9">
      <c r="A26" s="17">
        <v>2016.12</v>
      </c>
      <c r="B26" t="s">
        <v>17</v>
      </c>
      <c r="C26" s="25">
        <v>403.3</v>
      </c>
      <c r="D26" s="25">
        <v>92.1</v>
      </c>
      <c r="E26" s="25">
        <v>98.5</v>
      </c>
    </row>
    <row r="27" spans="1:9">
      <c r="A27" s="17">
        <v>2017.01</v>
      </c>
      <c r="B27" t="s">
        <v>18</v>
      </c>
      <c r="C27" s="25">
        <v>404.8</v>
      </c>
      <c r="D27" s="25">
        <v>87.4</v>
      </c>
      <c r="E27" s="25">
        <v>99.2</v>
      </c>
      <c r="H27" s="1"/>
    </row>
    <row r="28" spans="1:9">
      <c r="A28" s="17"/>
      <c r="B28" t="s">
        <v>19</v>
      </c>
      <c r="C28" s="25">
        <v>405.1</v>
      </c>
      <c r="D28" s="25">
        <v>90.1</v>
      </c>
      <c r="E28" s="25">
        <v>100.1</v>
      </c>
      <c r="H28" s="1"/>
      <c r="I28" s="1"/>
    </row>
    <row r="29" spans="1:9">
      <c r="A29" s="17">
        <v>2017.02</v>
      </c>
      <c r="B29" t="s">
        <v>20</v>
      </c>
      <c r="C29" s="25">
        <v>404.8</v>
      </c>
      <c r="D29" s="25">
        <v>89.8</v>
      </c>
      <c r="E29" s="25">
        <v>99.9</v>
      </c>
    </row>
    <row r="30" spans="1:9">
      <c r="A30" s="17">
        <v>2017.03</v>
      </c>
      <c r="B30" t="s">
        <v>21</v>
      </c>
      <c r="C30" s="25">
        <v>404.8</v>
      </c>
      <c r="D30" s="25">
        <v>91</v>
      </c>
      <c r="E30" s="25">
        <v>99.9</v>
      </c>
    </row>
    <row r="31" spans="1:9">
      <c r="A31" s="17">
        <v>2017.04</v>
      </c>
      <c r="B31" t="s">
        <v>22</v>
      </c>
      <c r="C31" s="25">
        <v>405.6</v>
      </c>
      <c r="D31" s="25">
        <v>89.6</v>
      </c>
      <c r="E31" s="25">
        <v>100.6</v>
      </c>
    </row>
    <row r="32" spans="1:9">
      <c r="A32" s="17"/>
      <c r="B32" t="s">
        <v>23</v>
      </c>
      <c r="C32" s="25">
        <v>410.6</v>
      </c>
      <c r="D32" s="25">
        <v>93.4</v>
      </c>
      <c r="E32" s="25">
        <v>100.9</v>
      </c>
    </row>
    <row r="33" spans="1:5">
      <c r="A33" s="17">
        <v>2017.05</v>
      </c>
      <c r="B33" t="s">
        <v>24</v>
      </c>
      <c r="C33" s="25">
        <v>408.6</v>
      </c>
      <c r="D33" s="25">
        <v>92.3</v>
      </c>
      <c r="E33" s="25">
        <v>100.9</v>
      </c>
    </row>
    <row r="34" spans="1:5">
      <c r="A34" s="17">
        <v>2017.06</v>
      </c>
      <c r="B34" t="s">
        <v>25</v>
      </c>
      <c r="C34" s="25">
        <v>411.7</v>
      </c>
      <c r="D34" s="25">
        <v>92.7</v>
      </c>
      <c r="E34" s="25">
        <v>100.9</v>
      </c>
    </row>
    <row r="35" spans="1:5">
      <c r="A35" s="17">
        <v>2017.07</v>
      </c>
      <c r="B35" t="s">
        <v>26</v>
      </c>
      <c r="C35" s="25">
        <v>411.6</v>
      </c>
      <c r="D35" s="25">
        <v>95.1</v>
      </c>
      <c r="E35" s="25">
        <v>100.9</v>
      </c>
    </row>
    <row r="36" spans="1:5">
      <c r="A36" s="17"/>
      <c r="B36" t="s">
        <v>27</v>
      </c>
      <c r="C36" s="25">
        <v>426.7</v>
      </c>
      <c r="D36" s="25">
        <v>100</v>
      </c>
      <c r="E36" s="25">
        <v>100</v>
      </c>
    </row>
    <row r="37" spans="1:5">
      <c r="A37" s="17"/>
      <c r="B37" t="s">
        <v>11</v>
      </c>
      <c r="C37" s="25">
        <v>413.2</v>
      </c>
      <c r="D37" s="25">
        <v>94.1</v>
      </c>
      <c r="E37" s="25">
        <v>99.2</v>
      </c>
    </row>
    <row r="38" spans="1:5">
      <c r="A38" s="17">
        <v>2017.08</v>
      </c>
      <c r="B38" t="s">
        <v>12</v>
      </c>
      <c r="C38" s="25">
        <v>411.7</v>
      </c>
      <c r="D38" s="25">
        <v>94.2</v>
      </c>
      <c r="E38" s="25">
        <v>99.2</v>
      </c>
    </row>
    <row r="39" spans="1:5">
      <c r="A39" s="17">
        <v>2017.09</v>
      </c>
      <c r="B39" t="s">
        <v>13</v>
      </c>
      <c r="C39" s="25">
        <v>411.7</v>
      </c>
      <c r="D39" s="25">
        <v>94.2</v>
      </c>
      <c r="E39" s="25">
        <v>99.2</v>
      </c>
    </row>
    <row r="40" spans="1:5">
      <c r="A40" s="17">
        <v>2017.1</v>
      </c>
      <c r="B40" t="s">
        <v>14</v>
      </c>
      <c r="C40" s="25">
        <v>416.1</v>
      </c>
      <c r="D40" s="25">
        <v>94.1</v>
      </c>
      <c r="E40" s="25">
        <v>99.2</v>
      </c>
    </row>
    <row r="41" spans="1:5">
      <c r="A41" s="17"/>
      <c r="B41" t="s">
        <v>15</v>
      </c>
      <c r="C41" s="25">
        <v>416.5</v>
      </c>
      <c r="D41" s="25">
        <v>96.4</v>
      </c>
      <c r="E41" s="25">
        <v>99.5</v>
      </c>
    </row>
    <row r="42" spans="1:5">
      <c r="A42" s="17">
        <v>2017.11</v>
      </c>
      <c r="B42" t="s">
        <v>16</v>
      </c>
      <c r="C42" s="25">
        <v>416.1</v>
      </c>
      <c r="D42" s="25">
        <v>95</v>
      </c>
      <c r="E42" s="25">
        <v>99.5</v>
      </c>
    </row>
    <row r="43" spans="1:5">
      <c r="A43" s="17">
        <v>2017.12</v>
      </c>
      <c r="B43" t="s">
        <v>17</v>
      </c>
      <c r="C43" s="25">
        <v>416.1</v>
      </c>
      <c r="D43" s="25">
        <v>96.2</v>
      </c>
      <c r="E43" s="25">
        <v>99.5</v>
      </c>
    </row>
    <row r="44" spans="1:5">
      <c r="A44" s="17">
        <v>2018.01</v>
      </c>
      <c r="B44" t="s">
        <v>18</v>
      </c>
      <c r="C44" s="25">
        <v>417.2</v>
      </c>
      <c r="D44" s="25">
        <v>98.1</v>
      </c>
      <c r="E44" s="25">
        <v>99.5</v>
      </c>
    </row>
    <row r="45" spans="1:5">
      <c r="A45" s="17"/>
      <c r="B45" t="s">
        <v>19</v>
      </c>
      <c r="C45" s="25">
        <v>433.3</v>
      </c>
      <c r="D45" s="25">
        <v>102.5</v>
      </c>
      <c r="E45" s="25">
        <v>100.6</v>
      </c>
    </row>
    <row r="46" spans="1:5">
      <c r="A46" s="17">
        <v>2018.02</v>
      </c>
      <c r="B46" t="s">
        <v>20</v>
      </c>
      <c r="C46" s="25">
        <v>424.7</v>
      </c>
      <c r="D46" s="25">
        <v>101.8</v>
      </c>
      <c r="E46" s="25">
        <v>100.6</v>
      </c>
    </row>
    <row r="47" spans="1:5">
      <c r="A47" s="17">
        <v>2018.03</v>
      </c>
      <c r="B47" t="s">
        <v>21</v>
      </c>
      <c r="C47" s="25">
        <v>437.4</v>
      </c>
      <c r="D47" s="25">
        <v>102.9</v>
      </c>
      <c r="E47" s="25">
        <v>100.6</v>
      </c>
    </row>
    <row r="48" spans="1:5">
      <c r="A48" s="17">
        <v>2018.04</v>
      </c>
      <c r="B48" t="s">
        <v>22</v>
      </c>
      <c r="C48" s="25">
        <v>437.9</v>
      </c>
      <c r="D48" s="25">
        <v>102.9</v>
      </c>
      <c r="E48" s="25">
        <v>100.6</v>
      </c>
    </row>
    <row r="49" spans="1:5">
      <c r="A49" s="17"/>
      <c r="B49" t="s">
        <v>23</v>
      </c>
      <c r="C49" s="25">
        <v>444</v>
      </c>
      <c r="D49" s="25">
        <v>106.9</v>
      </c>
      <c r="E49" s="25">
        <v>100.7</v>
      </c>
    </row>
    <row r="50" spans="1:5">
      <c r="A50" s="17">
        <v>2018.05</v>
      </c>
      <c r="B50" t="s">
        <v>24</v>
      </c>
      <c r="C50" s="25">
        <v>443</v>
      </c>
      <c r="D50" s="25">
        <v>105.9</v>
      </c>
      <c r="E50" s="25">
        <v>100.7</v>
      </c>
    </row>
    <row r="51" spans="1:5">
      <c r="A51" s="17">
        <v>2018.06</v>
      </c>
      <c r="B51" t="s">
        <v>25</v>
      </c>
      <c r="C51" s="25">
        <v>443</v>
      </c>
      <c r="D51" s="25">
        <v>106.6</v>
      </c>
      <c r="E51" s="25">
        <v>100.7</v>
      </c>
    </row>
    <row r="52" spans="1:5">
      <c r="A52" s="17">
        <v>2018.07</v>
      </c>
      <c r="B52" t="s">
        <v>26</v>
      </c>
      <c r="C52" s="25">
        <v>445.9</v>
      </c>
      <c r="D52" s="25">
        <v>108.2</v>
      </c>
      <c r="E52" s="25">
        <v>100.7</v>
      </c>
    </row>
    <row r="53" spans="1:5">
      <c r="A53" s="17"/>
      <c r="B53" t="s">
        <v>28</v>
      </c>
      <c r="C53" s="25">
        <v>467.8</v>
      </c>
      <c r="D53" s="25">
        <v>108</v>
      </c>
      <c r="E53" s="25">
        <v>103.8</v>
      </c>
    </row>
    <row r="54" spans="1:5">
      <c r="A54" s="17"/>
      <c r="B54" t="s">
        <v>11</v>
      </c>
      <c r="C54" s="25">
        <v>453.1</v>
      </c>
      <c r="D54" s="25">
        <v>108.3</v>
      </c>
      <c r="E54" s="25">
        <v>102.4</v>
      </c>
    </row>
    <row r="55" spans="1:5">
      <c r="A55" s="17">
        <v>2018.08</v>
      </c>
      <c r="B55" t="s">
        <v>12</v>
      </c>
      <c r="C55" s="25">
        <v>451.3</v>
      </c>
      <c r="D55" s="25">
        <v>107.9</v>
      </c>
      <c r="E55" s="25">
        <v>102.4</v>
      </c>
    </row>
    <row r="56" spans="1:5">
      <c r="A56" s="17">
        <v>2018.09</v>
      </c>
      <c r="B56" t="s">
        <v>13</v>
      </c>
      <c r="C56" s="25">
        <v>451.3</v>
      </c>
      <c r="D56" s="25">
        <v>108.4</v>
      </c>
      <c r="E56" s="25">
        <v>102.4</v>
      </c>
    </row>
    <row r="57" spans="1:5">
      <c r="A57" s="17">
        <v>2018.1</v>
      </c>
      <c r="B57" t="s">
        <v>14</v>
      </c>
      <c r="C57" s="25">
        <v>456.8</v>
      </c>
      <c r="D57" s="25">
        <v>108.5</v>
      </c>
      <c r="E57" s="25">
        <v>102.4</v>
      </c>
    </row>
    <row r="58" spans="1:5">
      <c r="A58" s="17"/>
      <c r="B58" t="s">
        <v>15</v>
      </c>
      <c r="C58" s="25">
        <v>464.8</v>
      </c>
      <c r="D58" s="25">
        <v>107.9</v>
      </c>
      <c r="E58" s="25">
        <v>104.1</v>
      </c>
    </row>
    <row r="59" spans="1:5">
      <c r="A59" s="17">
        <v>2018.11</v>
      </c>
      <c r="B59" t="s">
        <v>16</v>
      </c>
      <c r="C59" s="25">
        <v>464.6</v>
      </c>
      <c r="D59" s="25">
        <v>108</v>
      </c>
      <c r="E59" s="25">
        <v>104.1</v>
      </c>
    </row>
    <row r="60" spans="1:5">
      <c r="A60" s="17">
        <v>2018.12</v>
      </c>
      <c r="B60" t="s">
        <v>17</v>
      </c>
      <c r="C60" s="25">
        <v>464.9</v>
      </c>
      <c r="D60" s="25">
        <v>107.9</v>
      </c>
      <c r="E60" s="25">
        <v>104.1</v>
      </c>
    </row>
    <row r="61" spans="1:5">
      <c r="A61" s="17">
        <v>2019.01</v>
      </c>
      <c r="B61" t="s">
        <v>18</v>
      </c>
      <c r="C61" s="25">
        <v>464.9</v>
      </c>
      <c r="D61" s="25">
        <v>107.9</v>
      </c>
      <c r="E61" s="25">
        <v>104.1</v>
      </c>
    </row>
    <row r="62" spans="1:5">
      <c r="A62" s="17"/>
      <c r="B62" t="s">
        <v>19</v>
      </c>
      <c r="C62" s="25">
        <v>475.2</v>
      </c>
      <c r="D62" s="25">
        <v>107.2</v>
      </c>
      <c r="E62" s="25">
        <v>104.4</v>
      </c>
    </row>
    <row r="63" spans="1:5">
      <c r="A63" s="17">
        <v>2019.02</v>
      </c>
      <c r="B63" t="s">
        <v>20</v>
      </c>
      <c r="C63" s="25">
        <v>474.7</v>
      </c>
      <c r="D63" s="25">
        <v>107.1</v>
      </c>
      <c r="E63" s="25">
        <v>104.4</v>
      </c>
    </row>
    <row r="64" spans="1:5">
      <c r="A64" s="17">
        <v>2019.03</v>
      </c>
      <c r="B64" t="s">
        <v>21</v>
      </c>
      <c r="C64" s="25">
        <v>474.7</v>
      </c>
      <c r="D64" s="25">
        <v>107.2</v>
      </c>
      <c r="E64" s="25">
        <v>104.4</v>
      </c>
    </row>
    <row r="65" spans="1:5">
      <c r="A65" s="17">
        <v>2019.04</v>
      </c>
      <c r="B65" t="s">
        <v>22</v>
      </c>
      <c r="C65" s="25">
        <v>476.3</v>
      </c>
      <c r="D65" s="25">
        <v>107.2</v>
      </c>
      <c r="E65" s="25">
        <v>104.4</v>
      </c>
    </row>
    <row r="66" spans="1:5">
      <c r="A66" s="17"/>
      <c r="B66" t="s">
        <v>23</v>
      </c>
      <c r="C66" s="25">
        <v>476.5</v>
      </c>
      <c r="D66" s="25">
        <v>108.5</v>
      </c>
      <c r="E66" s="25">
        <v>104.5</v>
      </c>
    </row>
    <row r="67" spans="1:5">
      <c r="A67" s="17">
        <v>2019.05</v>
      </c>
      <c r="B67" t="s">
        <v>24</v>
      </c>
      <c r="C67" s="25">
        <v>476.3</v>
      </c>
      <c r="D67" s="25">
        <v>108.4</v>
      </c>
      <c r="E67" s="25">
        <v>104.5</v>
      </c>
    </row>
    <row r="68" spans="1:5">
      <c r="A68" s="17">
        <v>2019.06</v>
      </c>
      <c r="B68" t="s">
        <v>25</v>
      </c>
      <c r="C68" s="25">
        <v>476.6</v>
      </c>
      <c r="D68" s="25">
        <v>108.5</v>
      </c>
      <c r="E68" s="25">
        <v>104.5</v>
      </c>
    </row>
    <row r="69" spans="1:5">
      <c r="A69" s="17">
        <v>2019.07</v>
      </c>
      <c r="B69" t="s">
        <v>26</v>
      </c>
      <c r="C69" s="25">
        <v>476.6</v>
      </c>
      <c r="D69" s="25">
        <v>108.7</v>
      </c>
      <c r="E69" s="25">
        <v>104.5</v>
      </c>
    </row>
    <row r="70" spans="1:5">
      <c r="A70" s="17"/>
      <c r="B70" t="s">
        <v>29</v>
      </c>
      <c r="C70" s="25">
        <v>498.5</v>
      </c>
      <c r="D70" s="25">
        <v>103.8</v>
      </c>
      <c r="E70" s="25">
        <v>107.5</v>
      </c>
    </row>
    <row r="71" spans="1:5">
      <c r="A71" s="17"/>
      <c r="B71" t="s">
        <v>11</v>
      </c>
      <c r="C71" s="25">
        <v>495.1</v>
      </c>
      <c r="D71" s="25">
        <v>106.1</v>
      </c>
      <c r="E71" s="25">
        <v>107.1</v>
      </c>
    </row>
    <row r="72" spans="1:5">
      <c r="A72" s="17">
        <v>2019.08</v>
      </c>
      <c r="B72" t="s">
        <v>12</v>
      </c>
      <c r="C72" s="25">
        <v>494.8</v>
      </c>
      <c r="D72" s="25">
        <v>106.6</v>
      </c>
      <c r="E72" s="25">
        <v>107.1</v>
      </c>
    </row>
    <row r="73" spans="1:5">
      <c r="A73" s="17">
        <v>2019.09</v>
      </c>
      <c r="B73" t="s">
        <v>13</v>
      </c>
      <c r="C73" s="25">
        <v>495.3</v>
      </c>
      <c r="D73" s="25">
        <v>106</v>
      </c>
      <c r="E73" s="25">
        <v>107.1</v>
      </c>
    </row>
    <row r="74" spans="1:5">
      <c r="A74" s="17">
        <v>2019.1</v>
      </c>
      <c r="B74" t="s">
        <v>14</v>
      </c>
      <c r="C74" s="25">
        <v>495.3</v>
      </c>
      <c r="D74" s="25">
        <v>105.9</v>
      </c>
      <c r="E74" s="25">
        <v>107.1</v>
      </c>
    </row>
    <row r="75" spans="1:5">
      <c r="A75" s="17"/>
      <c r="B75" t="s">
        <v>15</v>
      </c>
      <c r="C75" s="25">
        <v>500.6</v>
      </c>
      <c r="D75" s="25">
        <v>103.2</v>
      </c>
      <c r="E75" s="25">
        <v>107.4</v>
      </c>
    </row>
    <row r="76" spans="1:5">
      <c r="A76" s="17">
        <v>2019.11</v>
      </c>
      <c r="B76" t="s">
        <v>16</v>
      </c>
      <c r="C76" s="25">
        <v>500</v>
      </c>
      <c r="D76" s="25">
        <v>104.7</v>
      </c>
      <c r="E76" s="25">
        <v>107.4</v>
      </c>
    </row>
    <row r="77" spans="1:5">
      <c r="A77" s="17">
        <v>2019.12</v>
      </c>
      <c r="B77" t="s">
        <v>17</v>
      </c>
      <c r="C77" s="25">
        <v>500.8</v>
      </c>
      <c r="D77" s="25">
        <v>102.3</v>
      </c>
      <c r="E77" s="25">
        <v>107.4</v>
      </c>
    </row>
    <row r="78" spans="1:5">
      <c r="A78" s="17">
        <v>2020.01</v>
      </c>
      <c r="B78" t="s">
        <v>18</v>
      </c>
      <c r="C78" s="25">
        <v>500.8</v>
      </c>
      <c r="D78" s="25">
        <v>102.4</v>
      </c>
      <c r="E78" s="25">
        <v>107.4</v>
      </c>
    </row>
    <row r="79" spans="1:5">
      <c r="A79" s="17"/>
      <c r="B79" t="s">
        <v>19</v>
      </c>
      <c r="C79" s="25">
        <v>500.8</v>
      </c>
      <c r="D79" s="25">
        <v>103.1</v>
      </c>
      <c r="E79" s="25">
        <v>107.7</v>
      </c>
    </row>
    <row r="80" spans="1:5">
      <c r="A80" s="17">
        <v>2020.02</v>
      </c>
      <c r="B80" t="s">
        <v>20</v>
      </c>
      <c r="C80" s="25">
        <v>500.8</v>
      </c>
      <c r="D80" s="25">
        <v>102.9</v>
      </c>
      <c r="E80" s="25">
        <v>107.7</v>
      </c>
    </row>
    <row r="81" spans="1:8">
      <c r="A81" s="17">
        <v>2020.03</v>
      </c>
      <c r="B81" t="s">
        <v>21</v>
      </c>
      <c r="C81" s="25">
        <v>500.8</v>
      </c>
      <c r="D81" s="25">
        <v>103.1</v>
      </c>
      <c r="E81" s="25">
        <v>107.7</v>
      </c>
    </row>
    <row r="82" spans="1:8">
      <c r="A82" s="17">
        <v>2020.04</v>
      </c>
      <c r="B82" t="s">
        <v>22</v>
      </c>
      <c r="C82" s="25">
        <v>500.8</v>
      </c>
      <c r="D82" s="25">
        <v>103.1</v>
      </c>
      <c r="E82" s="25">
        <v>107.7</v>
      </c>
    </row>
    <row r="83" spans="1:8">
      <c r="A83" s="17"/>
      <c r="B83" t="s">
        <v>23</v>
      </c>
      <c r="C83" s="25">
        <v>497.6</v>
      </c>
      <c r="D83" s="25">
        <v>102.9</v>
      </c>
      <c r="E83" s="25">
        <v>107.7</v>
      </c>
    </row>
    <row r="84" spans="1:8">
      <c r="A84" s="17">
        <v>2020.05</v>
      </c>
      <c r="B84" t="s">
        <v>24</v>
      </c>
      <c r="C84" s="25">
        <v>500.8</v>
      </c>
      <c r="D84" s="25">
        <v>102.8</v>
      </c>
      <c r="E84" s="25">
        <v>107.7</v>
      </c>
    </row>
    <row r="85" spans="1:8">
      <c r="A85" s="17">
        <v>2020.06</v>
      </c>
      <c r="B85" t="s">
        <v>25</v>
      </c>
      <c r="C85" s="25">
        <v>496</v>
      </c>
      <c r="D85" s="25">
        <v>103.4</v>
      </c>
      <c r="E85" s="25">
        <v>107.7</v>
      </c>
    </row>
    <row r="86" spans="1:8">
      <c r="A86" s="17">
        <v>2020.07</v>
      </c>
      <c r="B86" t="s">
        <v>26</v>
      </c>
      <c r="C86" s="25">
        <v>496</v>
      </c>
      <c r="D86" s="25">
        <v>102.5</v>
      </c>
      <c r="E86" s="25">
        <v>107.7</v>
      </c>
    </row>
    <row r="87" spans="1:8">
      <c r="A87" s="17"/>
      <c r="B87" t="s">
        <v>30</v>
      </c>
      <c r="C87" s="25"/>
      <c r="D87" s="25"/>
      <c r="E87" s="25"/>
    </row>
    <row r="88" spans="1:8">
      <c r="A88" s="17"/>
      <c r="B88" t="s">
        <v>11</v>
      </c>
      <c r="C88" s="25">
        <v>498.9</v>
      </c>
      <c r="D88" s="25">
        <v>103.8</v>
      </c>
      <c r="E88" s="25">
        <v>112.2</v>
      </c>
    </row>
    <row r="89" spans="1:8">
      <c r="A89" s="17">
        <v>2020.08</v>
      </c>
      <c r="B89" t="s">
        <v>12</v>
      </c>
      <c r="C89" s="25">
        <v>499.1</v>
      </c>
      <c r="D89" s="25">
        <v>104.1</v>
      </c>
      <c r="E89" s="25">
        <v>112.2</v>
      </c>
    </row>
    <row r="90" spans="1:8">
      <c r="A90" s="17">
        <v>2020.09</v>
      </c>
      <c r="B90" t="s">
        <v>13</v>
      </c>
      <c r="C90" s="25">
        <v>498.8</v>
      </c>
      <c r="D90" s="25">
        <v>103.7</v>
      </c>
      <c r="E90" s="25">
        <v>112.2</v>
      </c>
    </row>
    <row r="91" spans="1:8">
      <c r="A91" s="17">
        <v>2020.1</v>
      </c>
      <c r="B91" t="s">
        <v>14</v>
      </c>
      <c r="C91" s="25">
        <v>498.8</v>
      </c>
      <c r="D91" s="25">
        <v>103.6</v>
      </c>
      <c r="E91" s="25">
        <v>112.2</v>
      </c>
    </row>
    <row r="92" spans="1:8">
      <c r="A92" s="17"/>
      <c r="B92" t="s">
        <v>15</v>
      </c>
      <c r="C92" s="25">
        <v>502.9</v>
      </c>
      <c r="D92" s="25">
        <v>105.6</v>
      </c>
      <c r="E92" s="25">
        <v>112.7</v>
      </c>
    </row>
    <row r="93" spans="1:8">
      <c r="A93" s="17">
        <v>2020.11</v>
      </c>
      <c r="B93" t="s">
        <v>16</v>
      </c>
      <c r="C93" s="25">
        <v>498.8</v>
      </c>
      <c r="D93" s="25">
        <v>104.5</v>
      </c>
      <c r="E93" s="25">
        <v>112.7</v>
      </c>
    </row>
    <row r="94" spans="1:8">
      <c r="A94" s="17">
        <v>2020.12</v>
      </c>
      <c r="B94" t="s">
        <v>17</v>
      </c>
      <c r="C94" s="25">
        <v>501</v>
      </c>
      <c r="D94" s="25">
        <v>105</v>
      </c>
      <c r="E94" s="25">
        <v>112.7</v>
      </c>
      <c r="H94" s="1"/>
    </row>
    <row r="95" spans="1:8">
      <c r="A95" s="17">
        <v>2021.01</v>
      </c>
      <c r="B95" t="s">
        <v>18</v>
      </c>
      <c r="C95" s="25">
        <v>509.1</v>
      </c>
      <c r="D95" s="25">
        <v>107.1</v>
      </c>
      <c r="E95" s="25">
        <v>112.7</v>
      </c>
    </row>
    <row r="96" spans="1:8">
      <c r="A96" s="17"/>
      <c r="B96" t="s">
        <v>19</v>
      </c>
      <c r="C96" s="25">
        <v>513.70000000000005</v>
      </c>
      <c r="D96" s="25">
        <v>109</v>
      </c>
      <c r="E96" s="25">
        <v>113.5</v>
      </c>
    </row>
    <row r="97" spans="1:5">
      <c r="A97" s="17">
        <v>2021.02</v>
      </c>
      <c r="B97" t="s">
        <v>20</v>
      </c>
      <c r="C97" s="25">
        <v>512</v>
      </c>
      <c r="D97" s="25">
        <v>109.4</v>
      </c>
      <c r="E97" s="25">
        <v>113.5</v>
      </c>
    </row>
    <row r="98" spans="1:5">
      <c r="A98" s="17">
        <v>2021.03</v>
      </c>
      <c r="B98" t="s">
        <v>21</v>
      </c>
      <c r="C98" s="25">
        <v>514.5</v>
      </c>
      <c r="D98" s="25">
        <v>108.2</v>
      </c>
      <c r="E98" s="25">
        <v>113.5</v>
      </c>
    </row>
    <row r="99" spans="1:5">
      <c r="A99" s="17">
        <v>2021.04</v>
      </c>
      <c r="B99" t="s">
        <v>22</v>
      </c>
      <c r="C99" s="25">
        <v>514.5</v>
      </c>
      <c r="D99" s="25">
        <v>109.3</v>
      </c>
      <c r="E99" s="25">
        <v>113.5</v>
      </c>
    </row>
    <row r="100" spans="1:5">
      <c r="A100" s="17"/>
      <c r="B100" t="s">
        <v>23</v>
      </c>
      <c r="C100" s="25"/>
      <c r="D100" s="25"/>
      <c r="E100" s="25"/>
    </row>
    <row r="101" spans="1:5">
      <c r="A101" s="17">
        <v>2021.05</v>
      </c>
      <c r="B101" t="s">
        <v>24</v>
      </c>
      <c r="C101" s="25">
        <v>514.52547814384297</v>
      </c>
      <c r="D101" s="25">
        <v>111.41915</v>
      </c>
      <c r="E101" s="25">
        <v>113.68747</v>
      </c>
    </row>
    <row r="102" spans="1:5">
      <c r="A102" s="17">
        <v>2021.06</v>
      </c>
      <c r="B102" t="s">
        <v>25</v>
      </c>
      <c r="C102" s="25">
        <v>515.84706404692702</v>
      </c>
      <c r="D102" s="25">
        <v>111.89505</v>
      </c>
      <c r="E102" s="25">
        <v>113.68747</v>
      </c>
    </row>
    <row r="103" spans="1:5">
      <c r="A103" s="17">
        <v>2021.07</v>
      </c>
      <c r="B103" t="s">
        <v>26</v>
      </c>
      <c r="C103" s="25">
        <v>521.96528063896301</v>
      </c>
      <c r="D103" s="25">
        <v>114.13984000000001</v>
      </c>
      <c r="E103" s="25">
        <v>113.68747</v>
      </c>
    </row>
    <row r="104" spans="1:5">
      <c r="A104" s="17"/>
      <c r="C104" s="25"/>
      <c r="D104" s="25"/>
      <c r="E104" s="25"/>
    </row>
  </sheetData>
  <conditionalFormatting sqref="A2:E103">
    <cfRule type="expression" dxfId="23" priority="1">
      <formula>RIGHT($B2,3)="Qtr"</formula>
    </cfRule>
    <cfRule type="expression" dxfId="22" priority="2">
      <formula>OR(LEFT($B2,1)="2", LEFT($B2,1)="1")</formula>
    </cfRule>
  </conditionalFormatting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BS</vt:lpstr>
      <vt:lpstr>AD</vt:lpstr>
      <vt:lpstr>Indices</vt:lpstr>
      <vt:lpstr>AD!a</vt:lpstr>
      <vt:lpstr>a</vt:lpstr>
      <vt:lpstr>AD!b</vt:lpstr>
      <vt:lpstr>b</vt:lpstr>
      <vt:lpstr>AD!c_</vt:lpstr>
      <vt:lpstr>c_</vt:lpstr>
      <vt:lpstr>AD!d</vt:lpstr>
      <vt:lpstr>d</vt:lpstr>
      <vt:lpstr>AD!lo</vt:lpstr>
      <vt:lpstr>lo</vt:lpstr>
      <vt:lpstr>AD!mo</vt:lpstr>
      <vt:lpstr>mo</vt:lpstr>
      <vt:lpstr>AD!no</vt:lpstr>
      <vt:lpstr>no</vt:lpstr>
      <vt:lpstr>AD!Print_Area</vt:lpstr>
      <vt:lpstr>BS!Print_Area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2022-02-19T12:18:03Z</cp:lastPrinted>
  <dcterms:created xsi:type="dcterms:W3CDTF">2021-11-26T02:59:12Z</dcterms:created>
  <dcterms:modified xsi:type="dcterms:W3CDTF">2022-02-19T12:19:07Z</dcterms:modified>
</cp:coreProperties>
</file>