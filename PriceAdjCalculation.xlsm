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A739B984-570D-4994-A6C3-8101C09FB1D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'IPC-AD'!$A$13</definedName>
    <definedName name="a" localSheetId="0">'IPC-BS'!$A$13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'IPC-AD'!$B$13</definedName>
    <definedName name="b" localSheetId="0">'IPC-BS'!$B$13</definedName>
    <definedName name="c_" localSheetId="1">'IPC-AD'!$C$13</definedName>
    <definedName name="c_" localSheetId="0">'IPC-BS'!$C$13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'IPC-AD'!$D$13</definedName>
    <definedName name="d" localSheetId="0">'IPC-BS'!$D$13</definedName>
    <definedName name="dateType" localSheetId="1">'IPC-AD'!$Y$1</definedName>
    <definedName name="dateType">'IPC-BS'!$Y$1</definedName>
    <definedName name="dateType1" localSheetId="3">'Project-AD'!$Z$3</definedName>
    <definedName name="dateType1">'Project-BS'!$Z$3</definedName>
    <definedName name="IPCtable" localSheetId="1">'IPC-AD'!$C$16</definedName>
    <definedName name="IPCtable">'IPC-BS'!$C$16</definedName>
    <definedName name="lo" localSheetId="1">'IPC-AD'!$B$9</definedName>
    <definedName name="lo" localSheetId="0">'IPC-BS'!$B$9</definedName>
    <definedName name="mo" localSheetId="1">'IPC-AD'!$C$9</definedName>
    <definedName name="mo" localSheetId="0">'IPC-BS'!$C$9</definedName>
    <definedName name="no" localSheetId="1">'IPC-AD'!$D$9</definedName>
    <definedName name="no" localSheetId="0">'IPC-BS'!$D$9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'Project-AD'!$B$3</definedName>
    <definedName name="presentDate">'Project-BS'!$B$3</definedName>
    <definedName name="presentIndex" localSheetId="3">'Project-AD'!$B$5</definedName>
    <definedName name="presentIndex">'Project-BS'!$B$5</definedName>
    <definedName name="_xlnm.Print_Area" localSheetId="1">'IPC-AD'!$A$1:$I$25</definedName>
    <definedName name="_xlnm.Print_Area" localSheetId="0">'IPC-BS'!$A$1:$I$25</definedName>
    <definedName name="_xlnm.Print_Area" localSheetId="3">'Project-AD'!$A:$E</definedName>
    <definedName name="_xlnm.Print_Area" localSheetId="2">'Project-BS'!$A:$E</definedName>
    <definedName name="VAT" localSheetId="1">'IPC-AD'!$I$19</definedName>
    <definedName name="VAT" localSheetId="0">'IPC-BS'!$I$19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2" l="1"/>
  <c r="D17" i="11"/>
  <c r="C18" i="11"/>
  <c r="D16" i="11"/>
  <c r="D18" i="11" s="1"/>
  <c r="E13" i="11"/>
  <c r="D17" i="5"/>
  <c r="C18" i="5"/>
  <c r="D16" i="5"/>
  <c r="E13" i="5"/>
  <c r="C8" i="12"/>
  <c r="C8" i="10"/>
  <c r="D9" i="11"/>
  <c r="E17" i="11"/>
  <c r="G16" i="11"/>
  <c r="F17" i="11"/>
  <c r="C9" i="11"/>
  <c r="G17" i="11"/>
  <c r="F16" i="11"/>
  <c r="B9" i="11"/>
  <c r="E16" i="11"/>
  <c r="B9" i="5"/>
  <c r="E16" i="5"/>
  <c r="G17" i="5"/>
  <c r="G16" i="5"/>
  <c r="F17" i="5"/>
  <c r="C9" i="5"/>
  <c r="D9" i="5"/>
  <c r="E17" i="5"/>
  <c r="F16" i="5"/>
  <c r="B4" i="12"/>
  <c r="B3" i="10"/>
  <c r="B5" i="12"/>
  <c r="E8" i="12" l="1"/>
  <c r="H17" i="11"/>
  <c r="I17" i="11" s="1"/>
  <c r="H16" i="11"/>
  <c r="I16" i="11" s="1"/>
  <c r="H17" i="5"/>
  <c r="I17" i="5" s="1"/>
  <c r="D18" i="5"/>
  <c r="H16" i="5"/>
  <c r="I16" i="5" s="1"/>
  <c r="B4" i="10"/>
  <c r="B5" i="10"/>
  <c r="I18" i="11" l="1"/>
  <c r="E8" i="10"/>
  <c r="I18" i="5"/>
  <c r="I19" i="11" l="1"/>
  <c r="I20" i="11" s="1"/>
  <c r="I19" i="5"/>
  <c r="I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<sst xmlns="http://schemas.openxmlformats.org/spreadsheetml/2006/main" count="217" uniqueCount="94">
  <si>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</si>
  <si>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</si>
  <si>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</si>
  <si>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</si>
  <si>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</si>
  <si>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</si>
  <si>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</si>
  <si>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</si>
  <si>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</si>
  <si>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</si>
  <si>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</si>
  <si>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</si>
  <si>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</si>
  <si>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</si>
  <si>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</si>
  <si>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</si>
  <si>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</si>
  <si>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</si>
  <si>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</si>
  <si>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</si>
  <si>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</si>
  <si>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</si>
  <si>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</si>
  <si>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</si>
  <si>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</si>
  <si>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</si>
  <si>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</si>
  <si>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</si>
  <si>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</si>
  <si>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</si>
  <si>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</si>
  <si>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</si>
  <si>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</si>
  <si>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</si>
  <si>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</si>
  <si>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</si>
  <si>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</si>
  <si>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</si>
  <si>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</si>
  <si>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</si>
  <si>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</si>
  <si>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</si>
  <si>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</si>
  <si>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</si>
  <si>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</si>
  <si>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</si>
  <si>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</si>
  <si>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</si>
  <si>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</si>
  <si>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</si>
  <si>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</si>
  <si>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</si>
  <si>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</si>
  <si>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</si>
  <si>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</si>
  <si>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</si>
  <si>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</si>
  <si>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</si>
  <si>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</si>
  <si>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</si>
  <si>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</si>
  <si>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</si>
  <si>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</si>
  <si>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</si>
  <si>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</si>
  <si>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</si>
  <si>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</si>
  <si>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</si>
  <si>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</si>
  <si>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</si>
  <si>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</si>
  <si>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</si>
  <si>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</si>
  <si>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</si>
  <si>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</si>
  <si>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</si>
  <si>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</si>
  <si>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</si>
  <si>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</si>
  <si>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</si>
  <si>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</si>
  <si>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</si>
  <si>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</si>
  <si>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</si>
  <si>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</si>
  <si>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</si>
  <si>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</si>
  <si>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</si>
  <si>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</si>
  <si>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</si>
  <si>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</si>
  <si>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</si>
  <si>
    <t>Present Worth Calculation</t>
  </si>
  <si>
    <t>Contractor: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</si>
</sst>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3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0" fillId="0" borderId="7" xfId="0" applyBorder="1"/>
    <xf numFmtId="0" fontId="0" fillId="0" borderId="1" xfId="0" applyBorder="1"/>
    <xf numFmtId="0" fontId="22" fillId="0" borderId="2" xfId="0" applyFont="1" applyBorder="1" applyAlignment="1">
      <alignment horizontal="center"/>
    </xf>
    <xf numFmtId="49" fontId="22" fillId="0" borderId="3" xfId="0" applyNumberFormat="1" applyFont="1" applyBorder="1" applyAlignment="1">
      <alignment horizontal="center" wrapText="1"/>
    </xf>
    <xf numFmtId="0" fontId="22" fillId="0" borderId="3" xfId="0" applyFont="1" applyBorder="1" applyAlignment="1">
      <alignment horizontal="center"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3" fontId="0" fillId="0" borderId="8" xfId="12" applyFont="1" applyBorder="1"/>
    <xf numFmtId="43" fontId="7" fillId="0" borderId="9" xfId="12" applyFont="1" applyBorder="1"/>
    <xf numFmtId="49" fontId="0" fillId="0" borderId="8" xfId="0" applyNumberFormat="1" applyBorder="1" applyAlignment="1">
      <alignment horizontal="center"/>
    </xf>
    <xf numFmtId="0" fontId="22" fillId="0" borderId="6" xfId="0" applyFont="1" applyBorder="1" applyAlignment="1">
      <alignment horizontal="center" wrapText="1"/>
    </xf>
    <xf numFmtId="2" fontId="0" fillId="0" borderId="8" xfId="0" applyNumberForma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6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10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11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5:I18" totalsRowCount="1" headerRowDxfId="85" dataDxfId="83" totalsRowDxfId="81" headerRowBorderDxfId="84" tableBorderDxfId="82" totalsRowBorderDxfId="80">
  <tableColumns count="9">
    <tableColumn id="1" xr3:uid="{00000000-0010-0000-0000-000001000000}" name="IPC No." dataDxfId="79" totalsRowDxfId="18"/>
    <tableColumn id="2" xr3:uid="{00000000-0010-0000-0000-000002000000}" name="IPC Submisstion_x000a_Date" dataDxfId="78" totalsRowDxfId="17"/>
    <tableColumn id="10" xr3:uid="{00000000-0010-0000-0000-00000A000000}" name="IPC Amount" totalsRowFunction="sum" dataDxfId="77" totalsRowDxfId="16" dataCellStyle="Comma"/>
    <tableColumn id="11" xr3:uid="{00000000-0010-0000-0000-00000B000000}" name="IPC Amount_x000a_for Price Adj." totalsRowFunction="sum" dataDxfId="76" totalsRowDxfId="15" dataCellStyle="Comma">
      <calculatedColumnFormula>Table243[[#This Row],[IPC Amount]]</calculatedColumnFormula>
    </tableColumn>
    <tableColumn id="3" xr3:uid="{00000000-0010-0000-0000-000003000000}" name="l" dataDxfId="75" totalsRowDxfId="14">
      <calculatedColumnFormula>BSnrb(Table243[[#This Row],[IPC Submisstion
Date]],Table243[[#Headers],[l]])</calculatedColumnFormula>
    </tableColumn>
    <tableColumn id="4" xr3:uid="{00000000-0010-0000-0000-000004000000}" name="m" dataDxfId="74" totalsRowDxfId="13">
      <calculatedColumnFormula>BSnrb(Table243[[#This Row],[IPC Submisstion
Date]],Table243[[#Headers],[m]])</calculatedColumnFormula>
    </tableColumn>
    <tableColumn id="5" xr3:uid="{00000000-0010-0000-0000-000005000000}" name="n" dataDxfId="73" totalsRowDxfId="12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72" totalsRowDxfId="11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71" totalsRowDxfId="10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5:I18" totalsRowCount="1" headerRowDxfId="70" dataDxfId="68" totalsRowDxfId="66" headerRowBorderDxfId="69" tableBorderDxfId="67" totalsRowBorderDxfId="65">
  <tableColumns count="9">
    <tableColumn id="1" xr3:uid="{00000000-0010-0000-0100-000001000000}" name="IPC No." dataDxfId="64" totalsRowDxfId="63"/>
    <tableColumn id="2" xr3:uid="{00000000-0010-0000-0100-000002000000}" name="IPC Submisstion_x000a_Date" dataDxfId="62" totalsRowDxfId="61"/>
    <tableColumn id="10" xr3:uid="{00000000-0010-0000-0100-00000A000000}" name="IPC Amount" totalsRowFunction="sum" dataDxfId="60" totalsRowDxfId="59" dataCellStyle="Comma"/>
    <tableColumn id="11" xr3:uid="{00000000-0010-0000-0100-00000B000000}" name="IPC Amount_x000a_for Price Adj." totalsRowFunction="sum" dataDxfId="58" totalsRowDxfId="57" dataCellStyle="Comma">
      <calculatedColumnFormula>Table2434[[#This Row],[IPC Amount]]</calculatedColumnFormula>
    </tableColumn>
    <tableColumn id="3" xr3:uid="{00000000-0010-0000-0100-000003000000}" name="l" dataDxfId="56" totalsRowDxfId="55">
      <calculatedColumnFormula>ADnrb(Table2434[[#This Row],[IPC Submisstion
Date]],Table2434[[#Headers],[l]])</calculatedColumnFormula>
    </tableColumn>
    <tableColumn id="4" xr3:uid="{00000000-0010-0000-0100-000004000000}" name="m" dataDxfId="54" totalsRowDxfId="53">
      <calculatedColumnFormula>ADnrb(Table2434[[#This Row],[IPC Submisstion
Date]],Table2434[[#Headers],[m]])</calculatedColumnFormula>
    </tableColumn>
    <tableColumn id="5" xr3:uid="{00000000-0010-0000-0100-000005000000}" name="n" dataDxfId="52" totalsRowDxfId="51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50" totalsRowDxfId="49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48" totalsRowDxfId="47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7:E8" totalsRowShown="0" headerRowDxfId="46" headerRowBorderDxfId="45" tableBorderDxfId="44" totalsRowBorderDxfId="43">
  <autoFilter ref="A7:E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42"/>
    <tableColumn id="2" xr3:uid="{00000000-0010-0000-0200-000002000000}" name="Actual Date_x000a_of Completion" dataDxfId="41"/>
    <tableColumn id="3" xr3:uid="{00000000-0010-0000-0200-000003000000}" name="National Wholesale_x000a_Price Index (overall)" dataDxfId="40">
      <calculatedColumnFormula>BSnrb(projectTable[[#This Row],[Actual Date
of Completion]],"o")</calculatedColumnFormula>
    </tableColumn>
    <tableColumn id="4" xr3:uid="{00000000-0010-0000-0200-000004000000}" name="Amount Paid on_x000a_Completion (w/o VAT)" dataDxfId="39" dataCellStyle="Comma"/>
    <tableColumn id="5" xr3:uid="{00000000-0010-0000-0200-000005000000}" name="Present Value_x000a_(w/o VAT)" dataDxfId="38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7:E8" totalsRowShown="0" headerRowDxfId="37" headerRowBorderDxfId="36" tableBorderDxfId="35" totalsRowBorderDxfId="34">
  <autoFilter ref="A7:E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33"/>
    <tableColumn id="2" xr3:uid="{00000000-0010-0000-0300-000002000000}" name="Actual Date_x000a_of Completion" dataDxfId="32"/>
    <tableColumn id="3" xr3:uid="{00000000-0010-0000-0300-000003000000}" name="National Wholesale_x000a_Price Index (overall)" dataDxfId="31">
      <calculatedColumnFormula>ADnrb(projectTable6[[#This Row],[Actual Date
of Completion]],"o")</calculatedColumnFormula>
    </tableColumn>
    <tableColumn id="4" xr3:uid="{00000000-0010-0000-0300-000004000000}" name="Amount Paid on_x000a_Completion (w/o VAT)" dataDxfId="30" dataCellStyle="Comma"/>
    <tableColumn id="5" xr3:uid="{00000000-0010-0000-0300-000005000000}" name="Present Value_x000a_(w/o VAT)" dataDxfId="29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28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27"/>
    <tableColumn id="2" xr3:uid="{00000000-0010-0000-0400-000002000000}" name="Date"/>
    <tableColumn id="3" xr3:uid="{00000000-0010-0000-0400-000003000000}" name="Labour" dataDxfId="26"/>
    <tableColumn id="4" xr3:uid="{00000000-0010-0000-0400-000004000000}" name="Material" dataDxfId="25"/>
    <tableColumn id="5" xr3:uid="{00000000-0010-0000-0400-000005000000}" name="Equipment" dataDxfId="24"/>
    <tableColumn id="6" xr3:uid="{00000000-0010-0000-0400-000006000000}" name="Overall" dataDxfId="2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0" t="s">
        <v>55</v>
      </c>
      <c r="B1" s="50"/>
      <c r="C1" s="50"/>
      <c r="D1" s="50"/>
      <c r="E1" s="50"/>
      <c r="F1" s="50"/>
      <c r="G1" s="50"/>
      <c r="H1" s="50"/>
      <c r="I1" s="50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1"/>
      <c r="C3" s="51"/>
      <c r="D3" s="51"/>
      <c r="E3" s="51"/>
      <c r="F3" s="51"/>
      <c r="G3" s="51"/>
      <c r="H3" s="51"/>
      <c r="I3" s="51"/>
    </row>
    <row r="4" spans="1:9">
      <c r="A4" s="8" t="s">
        <v>44</v>
      </c>
      <c r="B4" s="52"/>
      <c r="C4" s="52"/>
      <c r="D4" s="52"/>
      <c r="E4" s="52"/>
      <c r="F4" s="52"/>
      <c r="G4" s="52"/>
      <c r="H4" s="52"/>
      <c r="I4" s="52"/>
    </row>
    <row r="5" spans="1:9">
      <c r="A5" s="8" t="s">
        <v>93</v>
      </c>
      <c r="B5" s="52"/>
      <c r="C5" s="52"/>
      <c r="D5" s="52"/>
      <c r="E5" s="52"/>
      <c r="F5" s="52"/>
      <c r="G5" s="52"/>
      <c r="H5" s="52"/>
      <c r="I5" s="52"/>
    </row>
    <row r="6" spans="1:9">
      <c r="A6" s="8"/>
      <c r="B6" s="8"/>
    </row>
    <row r="7" spans="1:9">
      <c r="A7" s="53" t="s">
        <v>59</v>
      </c>
      <c r="B7" s="49" t="s">
        <v>70</v>
      </c>
      <c r="C7" s="49"/>
      <c r="D7" s="49"/>
    </row>
    <row r="8" spans="1:9" ht="18">
      <c r="A8" s="53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45" t="s">
        <v>74</v>
      </c>
      <c r="B9" s="9">
        <f>BSnrb($A$9,"l")</f>
        <v>474.7</v>
      </c>
      <c r="C9" s="9">
        <f>BSnrb($A$9,"m")</f>
        <v>107.217766</v>
      </c>
      <c r="D9" s="9">
        <f>BSnrb($A$9,"n")</f>
        <v>104.40072000000001</v>
      </c>
      <c r="E9" s="10"/>
      <c r="H9" s="27"/>
    </row>
    <row r="11" spans="1:9">
      <c r="A11" s="49" t="s">
        <v>52</v>
      </c>
      <c r="B11" s="49"/>
      <c r="C11" s="49"/>
      <c r="D11" s="49"/>
      <c r="E11" s="49"/>
      <c r="H11" s="14"/>
    </row>
    <row r="12" spans="1:9" ht="30.75" customHeight="1">
      <c r="A12" s="26" t="s">
        <v>64</v>
      </c>
      <c r="B12" s="26" t="s">
        <v>65</v>
      </c>
      <c r="C12" s="26" t="s">
        <v>66</v>
      </c>
      <c r="D12" s="26" t="s">
        <v>67</v>
      </c>
      <c r="E12" s="11" t="s">
        <v>53</v>
      </c>
    </row>
    <row r="13" spans="1:9">
      <c r="A13" s="9">
        <v>0.15</v>
      </c>
      <c r="B13" s="46"/>
      <c r="C13" s="46"/>
      <c r="D13" s="46"/>
      <c r="E13" s="9">
        <f>SUM(A13:D13)</f>
        <v>0.15</v>
      </c>
    </row>
    <row r="14" spans="1:9" ht="41.25" customHeight="1">
      <c r="E14" s="54" t="s">
        <v>63</v>
      </c>
      <c r="F14" s="55"/>
      <c r="G14" s="55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26" t="s">
        <v>56</v>
      </c>
    </row>
    <row r="16" spans="1:9">
      <c r="A16" s="25">
        <v>1</v>
      </c>
      <c r="B16" s="17" t="s">
        <v>75</v>
      </c>
      <c r="C16" s="12"/>
      <c r="D16" s="6">
        <f>Table243[[#This Row],[IPC Amount]]</f>
        <v>0</v>
      </c>
      <c r="E16" s="13">
        <f>BSnrb(Table243[[#This Row],[IPC Submisstion
Date]],Table243[[#Headers],[l]])</f>
        <v>500.8381542398198</v>
      </c>
      <c r="F16" s="13">
        <f>BSnrb(Table243[[#This Row],[IPC Submisstion
Date]],Table243[[#Headers],[m]])</f>
        <v>103.13581000000001</v>
      </c>
      <c r="G16" s="13">
        <f>BSnrb(Table243[[#This Row],[IPC Submisstion
Date]],Table243[[#Headers],[n]])</f>
        <v>107.676216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47">
        <v>2</v>
      </c>
      <c r="B17" s="17" t="s">
        <v>89</v>
      </c>
      <c r="C17" s="12"/>
      <c r="D17" s="6">
        <f>Table243[[#This Row],[IPC Amount]]</f>
        <v>0</v>
      </c>
      <c r="E17" s="13">
        <f>BSnrb(Table243[[#This Row],[IPC Submisstion
Date]],Table243[[#Headers],[l]])</f>
        <v>514.52547814384309</v>
      </c>
      <c r="F17" s="13">
        <f>BSnrb(Table243[[#This Row],[IPC Submisstion
Date]],Table243[[#Headers],[m]])</f>
        <v>108.20650000000001</v>
      </c>
      <c r="G17" s="13">
        <f>BSnrb(Table243[[#This Row],[IPC Submisstion
Date]],Table243[[#Headers],[n]])</f>
        <v>113.512</v>
      </c>
      <c r="H17" s="9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19"/>
      <c r="B18" s="19"/>
      <c r="C18" s="19">
        <f>SUBTOTAL(109,Table243[IPC Amount])</f>
        <v>0</v>
      </c>
      <c r="D18" s="19">
        <f>SUBTOTAL(109,Table243[IPC Amount
for Price Adj.])</f>
        <v>0</v>
      </c>
      <c r="E18" s="19"/>
      <c r="F18" s="19"/>
      <c r="G18" s="19"/>
      <c r="H18" s="29" t="s">
        <v>53</v>
      </c>
      <c r="I18" s="20">
        <f>SUBTOTAL(109,Table243[Net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56" t="s">
        <v>54</v>
      </c>
      <c r="B23" s="56"/>
      <c r="C23" s="56"/>
      <c r="D23" s="56"/>
      <c r="E23" s="56"/>
      <c r="F23" s="56"/>
      <c r="G23" s="56"/>
      <c r="H23" s="56"/>
      <c r="I23" s="56"/>
    </row>
    <row r="24" spans="1:9">
      <c r="A24" s="57" t="s">
        <v>57</v>
      </c>
      <c r="B24" s="57"/>
      <c r="C24" s="57"/>
      <c r="D24" s="57"/>
      <c r="E24" s="57"/>
      <c r="F24" s="57"/>
      <c r="G24" s="57"/>
      <c r="H24" s="57"/>
      <c r="I24" s="57"/>
    </row>
    <row r="25" spans="1:9">
      <c r="A25" s="57" t="s">
        <v>58</v>
      </c>
      <c r="B25" s="57"/>
      <c r="C25" s="57"/>
      <c r="D25" s="57"/>
      <c r="E25" s="57"/>
      <c r="F25" s="57"/>
      <c r="G25" s="57"/>
      <c r="H25" s="57"/>
      <c r="I25" s="57"/>
    </row>
    <row r="28" spans="1:9" ht="28.5">
      <c r="A28" s="58" t="s">
        <v>85</v>
      </c>
      <c r="B28" s="58"/>
      <c r="C28" s="58"/>
      <c r="D28" s="58"/>
      <c r="E28" s="58"/>
      <c r="F28" s="58"/>
      <c r="G28" s="58"/>
      <c r="H28" s="58"/>
      <c r="I28" s="58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B5:I5"/>
    <mergeCell ref="E14:G14"/>
    <mergeCell ref="A23:I23"/>
    <mergeCell ref="A24:I24"/>
    <mergeCell ref="A25:I25"/>
    <mergeCell ref="A28:I28"/>
    <mergeCell ref="A11:E11"/>
    <mergeCell ref="A1:I1"/>
    <mergeCell ref="B3:I3"/>
    <mergeCell ref="B4:I4"/>
    <mergeCell ref="A7:A8"/>
    <mergeCell ref="B7:D7"/>
  </mergeCells>
  <conditionalFormatting sqref="I16:I17">
    <cfRule type="cellIs" dxfId="9" priority="2" operator="lessThan">
      <formula>0</formula>
    </cfRule>
  </conditionalFormatting>
  <conditionalFormatting sqref="I18:I22">
    <cfRule type="cellIs" dxfId="8" priority="1" operator="lessThan">
      <formula>0</formula>
    </cfRule>
  </conditionalFormatting>
  <printOptions horizontalCentered="1" verticalCentered="1"/>
  <pageMargins left="0.70866141732283472" right="0.70866141732283472" top="1.1417322834645669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0" t="s">
        <v>55</v>
      </c>
      <c r="B1" s="50"/>
      <c r="C1" s="50"/>
      <c r="D1" s="50"/>
      <c r="E1" s="50"/>
      <c r="F1" s="50"/>
      <c r="G1" s="50"/>
      <c r="H1" s="50"/>
      <c r="I1" s="50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1"/>
      <c r="C3" s="51"/>
      <c r="D3" s="51"/>
      <c r="E3" s="51"/>
      <c r="F3" s="51"/>
      <c r="G3" s="51"/>
      <c r="H3" s="51"/>
      <c r="I3" s="51"/>
    </row>
    <row r="4" spans="1:9">
      <c r="A4" s="8" t="s">
        <v>44</v>
      </c>
      <c r="B4" s="52"/>
      <c r="C4" s="52"/>
      <c r="D4" s="52"/>
      <c r="E4" s="52"/>
      <c r="F4" s="52"/>
      <c r="G4" s="52"/>
      <c r="H4" s="52"/>
      <c r="I4" s="52"/>
    </row>
    <row r="5" spans="1:9">
      <c r="A5" s="8" t="s">
        <v>93</v>
      </c>
      <c r="B5" s="52"/>
      <c r="C5" s="52"/>
      <c r="D5" s="52"/>
      <c r="E5" s="52"/>
      <c r="F5" s="52"/>
      <c r="G5" s="52"/>
      <c r="H5" s="52"/>
      <c r="I5" s="52"/>
    </row>
    <row r="6" spans="1:9">
      <c r="A6" s="8"/>
      <c r="B6" s="8"/>
    </row>
    <row r="7" spans="1:9">
      <c r="A7" s="53" t="s">
        <v>59</v>
      </c>
      <c r="B7" s="49" t="s">
        <v>70</v>
      </c>
      <c r="C7" s="49"/>
      <c r="D7" s="49"/>
    </row>
    <row r="8" spans="1:9" ht="18">
      <c r="A8" s="53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45" t="s">
        <v>91</v>
      </c>
      <c r="B9" s="9">
        <f>ADnrb($A$9,"l")</f>
        <v>500.8381542398198</v>
      </c>
      <c r="C9" s="9">
        <f>ADnrb($A$9,"m")</f>
        <v>102.328766</v>
      </c>
      <c r="D9" s="9">
        <f>ADnrb($A$9,"n")</f>
        <v>107.387505</v>
      </c>
      <c r="E9" s="10"/>
      <c r="H9" s="27"/>
    </row>
    <row r="11" spans="1:9">
      <c r="A11" s="49" t="s">
        <v>52</v>
      </c>
      <c r="B11" s="49"/>
      <c r="C11" s="49"/>
      <c r="D11" s="49"/>
      <c r="E11" s="49"/>
      <c r="H11" s="14"/>
    </row>
    <row r="12" spans="1:9" ht="30.75" customHeight="1">
      <c r="A12" s="48" t="s">
        <v>64</v>
      </c>
      <c r="B12" s="48" t="s">
        <v>65</v>
      </c>
      <c r="C12" s="48" t="s">
        <v>66</v>
      </c>
      <c r="D12" s="48" t="s">
        <v>67</v>
      </c>
      <c r="E12" s="11" t="s">
        <v>53</v>
      </c>
    </row>
    <row r="13" spans="1:9">
      <c r="A13" s="9">
        <v>0.15</v>
      </c>
      <c r="B13" s="46"/>
      <c r="C13" s="46"/>
      <c r="D13" s="46"/>
      <c r="E13" s="9">
        <f>SUM(A13:D13)</f>
        <v>0.15</v>
      </c>
    </row>
    <row r="14" spans="1:9" ht="41.25" customHeight="1">
      <c r="E14" s="54" t="s">
        <v>63</v>
      </c>
      <c r="F14" s="55"/>
      <c r="G14" s="55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48" t="s">
        <v>56</v>
      </c>
    </row>
    <row r="16" spans="1:9">
      <c r="A16" s="47">
        <v>1</v>
      </c>
      <c r="B16" s="17" t="s">
        <v>90</v>
      </c>
      <c r="C16" s="12"/>
      <c r="D16" s="6">
        <f>Table2434[[#This Row],[IPC Amount]]</f>
        <v>0</v>
      </c>
      <c r="E16" s="13">
        <f>ADnrb(Table2434[[#This Row],[IPC Submisstion
Date]],Table2434[[#Headers],[l]])</f>
        <v>500.96844064228122</v>
      </c>
      <c r="F16" s="13">
        <f>ADnrb(Table2434[[#This Row],[IPC Submisstion
Date]],Table2434[[#Headers],[m]])</f>
        <v>105.03371</v>
      </c>
      <c r="G16" s="13">
        <f>ADnrb(Table2434[[#This Row],[IPC Submisstion
Date]],Table2434[[#Headers],[n]])</f>
        <v>112.74575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Bot="1">
      <c r="A17" s="47">
        <v>2</v>
      </c>
      <c r="B17" s="17" t="s">
        <v>87</v>
      </c>
      <c r="C17" s="12"/>
      <c r="D17" s="6">
        <f>Table2434[[#This Row],[IPC Amount]]</f>
        <v>0</v>
      </c>
      <c r="E17" s="13">
        <f>ADnrb(Table2434[[#This Row],[IPC Submisstion
Date]],Table2434[[#Headers],[l]])</f>
        <v>526.8947436082924</v>
      </c>
      <c r="F17" s="13">
        <f>ADnrb(Table2434[[#This Row],[IPC Submisstion
Date]],Table2434[[#Headers],[m]])</f>
        <v>125.87631</v>
      </c>
      <c r="G17" s="13">
        <f>ADnrb(Table2434[[#This Row],[IPC Submisstion
Date]],Table2434[[#Headers],[n]])</f>
        <v>122.78874</v>
      </c>
      <c r="H17" s="9">
        <f>a+
b*Table2434[[#This Row],[l]]/lo+
c_*Table2434[[#This Row],[m]]/mo+
d*Table2434[[#This Row],[n]]/no</f>
        <v>0.15</v>
      </c>
      <c r="I17" s="6">
        <f>(Table2434[[#This Row],[Price Adj.
factor]]-1) * Table2434[[#This Row],[IPC Amount
for Price Adj.]]</f>
        <v>0</v>
      </c>
    </row>
    <row r="18" spans="1:9" ht="15.75" thickTop="1">
      <c r="A18" s="19"/>
      <c r="B18" s="19"/>
      <c r="C18" s="19">
        <f>SUBTOTAL(109,Table2434[IPC Amount])</f>
        <v>0</v>
      </c>
      <c r="D18" s="19">
        <f>SUBTOTAL(109,Table2434[IPC Amount
for Price Adj.])</f>
        <v>0</v>
      </c>
      <c r="E18" s="19"/>
      <c r="F18" s="19"/>
      <c r="G18" s="19"/>
      <c r="H18" s="29" t="s">
        <v>53</v>
      </c>
      <c r="I18" s="20">
        <f>SUBTOTAL(109,Table2434[Net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Table2434[[#Totals],[Net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Table2434[[#Totals],[Net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56" t="s">
        <v>54</v>
      </c>
      <c r="B23" s="56"/>
      <c r="C23" s="56"/>
      <c r="D23" s="56"/>
      <c r="E23" s="56"/>
      <c r="F23" s="56"/>
      <c r="G23" s="56"/>
      <c r="H23" s="56"/>
      <c r="I23" s="56"/>
    </row>
    <row r="24" spans="1:9">
      <c r="A24" s="57" t="s">
        <v>57</v>
      </c>
      <c r="B24" s="57"/>
      <c r="C24" s="57"/>
      <c r="D24" s="57"/>
      <c r="E24" s="57"/>
      <c r="F24" s="57"/>
      <c r="G24" s="57"/>
      <c r="H24" s="57"/>
      <c r="I24" s="57"/>
    </row>
    <row r="25" spans="1:9">
      <c r="A25" s="57" t="s">
        <v>58</v>
      </c>
      <c r="B25" s="57"/>
      <c r="C25" s="57"/>
      <c r="D25" s="57"/>
      <c r="E25" s="57"/>
      <c r="F25" s="57"/>
      <c r="G25" s="57"/>
      <c r="H25" s="57"/>
      <c r="I25" s="57"/>
    </row>
    <row r="28" spans="1:9" ht="28.5">
      <c r="A28" s="58" t="s">
        <v>85</v>
      </c>
      <c r="B28" s="58"/>
      <c r="C28" s="58"/>
      <c r="D28" s="58"/>
      <c r="E28" s="58"/>
      <c r="F28" s="58"/>
      <c r="G28" s="58"/>
      <c r="H28" s="58"/>
      <c r="I28" s="58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B5:I5"/>
    <mergeCell ref="A11:E11"/>
    <mergeCell ref="A1:I1"/>
    <mergeCell ref="B3:I3"/>
    <mergeCell ref="B4:I4"/>
    <mergeCell ref="A7:A8"/>
    <mergeCell ref="B7:D7"/>
    <mergeCell ref="E14:G14"/>
    <mergeCell ref="A23:I23"/>
    <mergeCell ref="A24:I24"/>
    <mergeCell ref="A25:I25"/>
    <mergeCell ref="A28:I28"/>
  </mergeCells>
  <conditionalFormatting sqref="I16:I17">
    <cfRule type="cellIs" dxfId="7" priority="2" operator="lessThan">
      <formula>0</formula>
    </cfRule>
  </conditionalFormatting>
  <conditionalFormatting sqref="I18:I22">
    <cfRule type="cellIs" dxfId="6" priority="1" operator="lessThan">
      <formula>0</formula>
    </cfRule>
  </conditionalFormatting>
  <printOptions horizontalCentered="1" vertic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AJ8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29.28515625" bestFit="1" customWidth="1"/>
    <col min="2" max="2" width="15" bestFit="1" customWidth="1"/>
    <col min="3" max="3" width="21" bestFit="1" customWidth="1"/>
    <col min="4" max="5" width="25.140625" customWidth="1"/>
  </cols>
  <sheetData>
    <row r="1" spans="1:36" s="5" customFormat="1" ht="28.5">
      <c r="A1" s="50" t="s">
        <v>92</v>
      </c>
      <c r="B1" s="50"/>
      <c r="C1" s="50"/>
      <c r="D1" s="50"/>
      <c r="E1" s="50"/>
      <c r="F1" s="59"/>
      <c r="G1" s="59"/>
      <c r="H1" s="59"/>
      <c r="I1" s="59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51" customHeight="1">
      <c r="A2" s="7"/>
      <c r="B2" s="7"/>
      <c r="C2" s="7"/>
      <c r="D2" s="7"/>
      <c r="E2" s="7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>
      <c r="A3" s="33" t="s">
        <v>76</v>
      </c>
      <c r="B3" s="39" t="str">
        <f ca="1">ad2bs(TODAY())</f>
        <v>2079-3-7</v>
      </c>
    </row>
    <row r="4" spans="1:36" ht="30">
      <c r="A4" s="37" t="s">
        <v>86</v>
      </c>
      <c r="B4" s="38">
        <f ca="1">BSnrb(presentDate,"qtr")</f>
        <v>2022.05</v>
      </c>
    </row>
    <row r="5" spans="1:36" ht="30">
      <c r="A5" s="37" t="s">
        <v>78</v>
      </c>
      <c r="B5" s="38">
        <f ca="1">BSnrb(presentDate,"o")</f>
        <v>140.92689999999999</v>
      </c>
    </row>
    <row r="6" spans="1:36" ht="36" customHeight="1"/>
    <row r="7" spans="1:36" ht="31.5">
      <c r="A7" s="34" t="s">
        <v>77</v>
      </c>
      <c r="B7" s="35" t="s">
        <v>79</v>
      </c>
      <c r="C7" s="36" t="s">
        <v>80</v>
      </c>
      <c r="D7" s="36" t="s">
        <v>81</v>
      </c>
      <c r="E7" s="43" t="s">
        <v>82</v>
      </c>
    </row>
    <row r="8" spans="1:36">
      <c r="A8" s="32" t="s">
        <v>84</v>
      </c>
      <c r="B8" s="42" t="s">
        <v>83</v>
      </c>
      <c r="C8" s="44">
        <f>BSnrb(projectTable[[#This Row],[Actual Date
of Completion]],"o")</f>
        <v>100.45525221079566</v>
      </c>
      <c r="D8" s="40">
        <v>10000000</v>
      </c>
      <c r="E8" s="41">
        <f t="shared" ref="E8" ca="1" si="0">amount*presentIndex/originalIndex</f>
        <v>14028823.470999653</v>
      </c>
    </row>
  </sheetData>
  <mergeCells count="1"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AJ8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29.28515625" bestFit="1" customWidth="1"/>
    <col min="2" max="2" width="15" bestFit="1" customWidth="1"/>
    <col min="3" max="3" width="21" bestFit="1" customWidth="1"/>
    <col min="4" max="5" width="25.140625" customWidth="1"/>
  </cols>
  <sheetData>
    <row r="1" spans="1:36" s="5" customFormat="1" ht="28.5">
      <c r="A1" s="50" t="s">
        <v>92</v>
      </c>
      <c r="B1" s="50"/>
      <c r="C1" s="50"/>
      <c r="D1" s="50"/>
      <c r="E1" s="50"/>
      <c r="F1" s="59"/>
      <c r="G1" s="59"/>
      <c r="H1" s="59"/>
      <c r="I1" s="59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51" customHeight="1">
      <c r="A2" s="7"/>
      <c r="B2" s="7"/>
      <c r="C2" s="7"/>
      <c r="D2" s="7"/>
      <c r="E2" s="7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>
      <c r="A3" s="33" t="s">
        <v>76</v>
      </c>
      <c r="B3" s="39">
        <f ca="1">TODAY()</f>
        <v>44733</v>
      </c>
    </row>
    <row r="4" spans="1:36" ht="30">
      <c r="A4" s="37" t="s">
        <v>86</v>
      </c>
      <c r="B4" s="38">
        <f ca="1">ADnrb(presentDate,"qtr")</f>
        <v>2022.05</v>
      </c>
    </row>
    <row r="5" spans="1:36" ht="30">
      <c r="A5" s="37" t="s">
        <v>78</v>
      </c>
      <c r="B5" s="38">
        <f ca="1">ADnrb(presentDate,"o")</f>
        <v>140.92689999999999</v>
      </c>
    </row>
    <row r="6" spans="1:36" ht="36" customHeight="1"/>
    <row r="7" spans="1:36" ht="31.5">
      <c r="A7" s="34" t="s">
        <v>77</v>
      </c>
      <c r="B7" s="35" t="s">
        <v>79</v>
      </c>
      <c r="C7" s="36" t="s">
        <v>80</v>
      </c>
      <c r="D7" s="36" t="s">
        <v>81</v>
      </c>
      <c r="E7" s="43" t="s">
        <v>82</v>
      </c>
    </row>
    <row r="8" spans="1:36">
      <c r="A8" s="32" t="s">
        <v>84</v>
      </c>
      <c r="B8" s="42" t="s">
        <v>88</v>
      </c>
      <c r="C8" s="44">
        <f>ADnrb(projectTable6[[#This Row],[Actual Date
of Completion]],"o")</f>
        <v>98.641382967678069</v>
      </c>
      <c r="D8" s="40">
        <v>10000000</v>
      </c>
      <c r="E8" s="41">
        <f t="shared" ref="E8" ca="1" si="0">amount*presentIndex/originalIndex</f>
        <v>14286792.80035821</v>
      </c>
    </row>
  </sheetData>
  <mergeCells count="1">
    <mergeCell ref="A1:E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9" sqref="A11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>
        <v>2022.05</v>
      </c>
      <c r="B118" t="s">
        <v>24</v>
      </c>
      <c r="C118" s="15">
        <v>541.81853276662503</v>
      </c>
      <c r="D118" s="15">
        <v>141.30508</v>
      </c>
      <c r="E118" s="15">
        <v>124.46802</v>
      </c>
      <c r="F118" s="15">
        <v>140.92689999999999</v>
      </c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5" priority="5">
      <formula>RIGHT($B2,3)="Qtr"</formula>
    </cfRule>
    <cfRule type="expression" dxfId="4" priority="6">
      <formula>OR(LEFT($B2,1)="2", LEFT($B2,1)="1")</formula>
    </cfRule>
  </conditionalFormatting>
  <conditionalFormatting sqref="A104:F104">
    <cfRule type="expression" dxfId="3" priority="3">
      <formula>RIGHT($B104,3)="Qtr"</formula>
    </cfRule>
    <cfRule type="expression" dxfId="2" priority="4">
      <formula>OR(LEFT($B104,1)="2", LEFT($B104,1)="1")</formula>
    </cfRule>
  </conditionalFormatting>
  <conditionalFormatting sqref="F2:F120">
    <cfRule type="expression" dxfId="1" priority="1">
      <formula>RIGHT($B2,3)="Qtr"</formula>
    </cfRule>
    <cfRule type="expression" dxfId="0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2022-06-21T04:07:51Z</cp:lastPrinted>
  <dcterms:created xsi:type="dcterms:W3CDTF">2021-11-26T02:59:12Z</dcterms:created>
  <dcterms:modified xsi:type="dcterms:W3CDTF">2022-06-21T04:08:21Z</dcterms:modified>
</cp:coreProperties>
</file>