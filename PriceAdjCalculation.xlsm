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6F907D8C-DA88-4C5F-8328-4CB2CF4E396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-BS" sheetId="5" r:id="rId1"/>
    <sheet name="IPC-AD" sheetId="11" r:id="rId2"/>
    <sheet name="Project-BS" sheetId="10" r:id="rId3"/>
    <sheet name="Project-AD" sheetId="12" r:id="rId4"/>
    <sheet name="Indices" sheetId="2" state="hidden" r:id="rId5"/>
  </sheets>
  <functionGroups builtInGroupCount="19"/>
  <definedNames>
    <definedName name="a" localSheetId="1">'IPC-AD'!$A$13</definedName>
    <definedName name="a" localSheetId="0">'IPC-BS'!$A$13</definedName>
    <definedName name="amount" localSheetId="1">projectTable[Amount Paid on
Completion (w/o VAT)]</definedName>
    <definedName name="amount" localSheetId="3">projectTable6[Amount Paid on
Completion (w/o VAT)]</definedName>
    <definedName name="amount">projectTable[Amount Paid on
Completion (w/o VAT)]</definedName>
    <definedName name="b" localSheetId="1">'IPC-AD'!$B$13</definedName>
    <definedName name="b" localSheetId="0">'IPC-BS'!$B$13</definedName>
    <definedName name="c_" localSheetId="1">'IPC-AD'!$C$13</definedName>
    <definedName name="c_" localSheetId="0">'IPC-BS'!$C$13</definedName>
    <definedName name="completionDate" localSheetId="1">projectTable[Actual Date
of Completion]</definedName>
    <definedName name="completionDate" localSheetId="3">projectTable6[Actual Date
of Completion]</definedName>
    <definedName name="completionDate">projectTable[Actual Date
of Completion]</definedName>
    <definedName name="d" localSheetId="1">'IPC-AD'!$D$13</definedName>
    <definedName name="d" localSheetId="0">'IPC-BS'!$D$13</definedName>
    <definedName name="dateType" localSheetId="1">'IPC-AD'!$Y$1</definedName>
    <definedName name="dateType">'IPC-BS'!$Y$1</definedName>
    <definedName name="dateType1" localSheetId="3">'Project-AD'!$Z$3</definedName>
    <definedName name="dateType1">'Project-BS'!$Z$3</definedName>
    <definedName name="IPCtable" localSheetId="1">'IPC-AD'!$C$16</definedName>
    <definedName name="IPCtable">'IPC-BS'!$C$16</definedName>
    <definedName name="lo" localSheetId="1">'IPC-AD'!$B$9</definedName>
    <definedName name="lo" localSheetId="0">'IPC-BS'!$B$9</definedName>
    <definedName name="mo" localSheetId="1">'IPC-AD'!$C$9</definedName>
    <definedName name="mo" localSheetId="0">'IPC-BS'!$C$9</definedName>
    <definedName name="no" localSheetId="1">'IPC-AD'!$D$9</definedName>
    <definedName name="no" localSheetId="0">'IPC-BS'!$D$9</definedName>
    <definedName name="originalIndex" localSheetId="1">projectTable[National Wholesale
Price Index (overall)]</definedName>
    <definedName name="originalIndex" localSheetId="3">projectTable6[National Wholesale
Price Index (overall)]</definedName>
    <definedName name="originalIndex">projectTable[National Wholesale
Price Index (overall)]</definedName>
    <definedName name="presentDate" localSheetId="3">'Project-AD'!$B$3</definedName>
    <definedName name="presentDate">'Project-BS'!$B$3</definedName>
    <definedName name="presentIndex" localSheetId="3">'Project-AD'!$B$5</definedName>
    <definedName name="presentIndex">'Project-BS'!$B$5</definedName>
    <definedName name="_xlnm.Print_Area" localSheetId="1">'IPC-AD'!$A$1:$I$25</definedName>
    <definedName name="_xlnm.Print_Area" localSheetId="0">'IPC-BS'!$A$1:$I$25</definedName>
    <definedName name="_xlnm.Print_Area" localSheetId="3">'Project-AD'!$A:$E</definedName>
    <definedName name="_xlnm.Print_Area" localSheetId="2">'Project-BS'!$A:$E</definedName>
    <definedName name="VAT" localSheetId="1">'IPC-AD'!$I$19</definedName>
    <definedName name="VAT" localSheetId="0">'IPC-BS'!$I$19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2" l="1"/>
  <c r="D17" i="11"/>
  <c r="C18" i="11"/>
  <c r="D16" i="11"/>
  <c r="D18" i="11" s="1"/>
  <c r="E13" i="11"/>
  <c r="D17" i="5"/>
  <c r="C18" i="5"/>
  <c r="D16" i="5"/>
  <c r="E13" i="5"/>
  <c r="F16" i="11"/>
  <c r="B9" i="11"/>
  <c r="C9" i="11"/>
  <c r="G17" i="11"/>
  <c r="C8" i="10"/>
  <c r="D9" i="11"/>
  <c r="E17" i="5"/>
  <c r="E17" i="11"/>
  <c r="E16" i="5"/>
  <c r="G17" i="5"/>
  <c r="F17" i="5"/>
  <c r="G16" i="11"/>
  <c r="F16" i="5"/>
  <c r="C8" i="12"/>
  <c r="C9" i="5"/>
  <c r="D9" i="5"/>
  <c r="G16" i="5"/>
  <c r="B9" i="5"/>
  <c r="F17" i="11"/>
  <c r="E16" i="11"/>
  <c r="B4" i="12"/>
  <c r="B5" i="12"/>
  <c r="B3" i="10"/>
  <c r="B4" i="10"/>
  <c r="B5" i="10"/>
  <c r="E8" i="10" l="1"/>
  <c r="E8" i="12"/>
  <c r="H17" i="11"/>
  <c r="I17" i="11" s="1"/>
  <c r="H16" i="11"/>
  <c r="I16" i="11" s="1"/>
  <c r="H17" i="5"/>
  <c r="I17" i="5" s="1"/>
  <c r="D18" i="5"/>
  <c r="H16" i="5"/>
  <c r="I16" i="5" s="1"/>
  <c r="I18" i="11" l="1"/>
  <c r="I18" i="5"/>
  <c r="I19" i="11" l="1"/>
  <c r="I20" i="11" s="1"/>
  <c r="I19" i="5"/>
  <c r="I2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0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0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1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1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<sst xmlns="http://schemas.openxmlformats.org/spreadsheetml/2006/main" count="217" uniqueCount="94">
  <si>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</si>
  <si>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</si>
  <si>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</si>
  <si>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</si>
  <si>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</si>
  <si>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</si>
  <si>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</si>
  <si>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</si>
  <si>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</si>
  <si>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</si>
  <si>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</si>
  <si>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</si>
  <si>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</si>
  <si>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</si>
  <si>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</si>
  <si>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</si>
  <si>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</si>
  <si>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</si>
  <si>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</si>
  <si>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</si>
  <si>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</si>
  <si>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</si>
  <si>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</si>
  <si>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</si>
  <si>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</si>
  <si>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</si>
  <si>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</si>
  <si>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</si>
  <si>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</si>
  <si>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</si>
  <si>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</si>
  <si>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</si>
  <si>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</si>
  <si>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</si>
  <si>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</si>
  <si>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</si>
  <si>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</si>
  <si>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</si>
  <si>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</si>
  <si>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</si>
  <si>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</si>
  <si>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</si>
  <si>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</si>
  <si>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</si>
  <si>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</si>
  <si>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</si>
  <si>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</si>
  <si>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</si>
  <si>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</si>
  <si>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</si>
  <si>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</si>
  <si>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</si>
  <si>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</si>
  <si>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</si>
  <si>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</si>
  <si>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Net Price Adj.
Amount</t>
  </si>
  <si>
    <t>1. NRB: National Salary and Wage Rate Index</t>
  </si>
  <si>
    <t>2. NRB: National Wholesale Price Index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</si>
  <si>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</si>
  <si>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</si>
  <si>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</si>
  <si>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</si>
  <si>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</si>
  <si>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</si>
  <si>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</si>
  <si>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</si>
  <si>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</si>
  <si>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</si>
  <si>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</si>
  <si>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</si>
  <si>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</si>
  <si>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2076-1-1</t>
  </si>
  <si>
    <t>2077-2-2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</si>
  <si>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</si>
  <si>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</si>
  <si>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</si>
  <si>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</si>
  <si>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</si>
  <si>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</si>
  <si>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</si>
  <si>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</si>
  <si>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</si>
  <si>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</si>
  <si>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</si>
  <si>
    <t>2022-2-3</t>
  </si>
  <si>
    <t>2018-1-1</t>
  </si>
  <si>
    <t>2078-1-1</t>
  </si>
  <si>
    <t>2021-1-1</t>
  </si>
  <si>
    <t>2020-1-1</t>
  </si>
  <si>
    <t>Contractor:</t>
  </si>
  <si>
    <t>PRICE ADJUSTMENT for IPCs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</si>
  <si>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Latest Date for Bid Submission)</t>
    </r>
  </si>
  <si>
    <t>Latest Date for
Bid Submisstion</t>
  </si>
  <si>
    <t>Project: Present Worth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</si>
</sst>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6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top"/>
    </xf>
    <xf numFmtId="0" fontId="22" fillId="0" borderId="0" xfId="0" applyFont="1" applyAlignment="1">
      <alignment vertical="top"/>
    </xf>
    <xf numFmtId="0" fontId="23" fillId="0" borderId="0" xfId="0" applyFont="1"/>
    <xf numFmtId="0" fontId="22" fillId="0" borderId="0" xfId="0" applyFont="1" applyAlignment="1">
      <alignment horizontal="center" vertical="top"/>
    </xf>
    <xf numFmtId="0" fontId="23" fillId="0" borderId="1" xfId="0" applyFont="1" applyBorder="1"/>
    <xf numFmtId="14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>
      <alignment wrapText="1"/>
    </xf>
    <xf numFmtId="2" fontId="23" fillId="0" borderId="1" xfId="0" applyNumberFormat="1" applyFont="1" applyBorder="1" applyAlignment="1">
      <alignment horizontal="left"/>
    </xf>
    <xf numFmtId="0" fontId="23" fillId="0" borderId="7" xfId="0" applyFont="1" applyBorder="1"/>
    <xf numFmtId="49" fontId="23" fillId="0" borderId="8" xfId="0" applyNumberFormat="1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43" fontId="23" fillId="0" borderId="8" xfId="12" applyFont="1" applyBorder="1"/>
    <xf numFmtId="43" fontId="24" fillId="0" borderId="9" xfId="12" applyFont="1" applyBorder="1"/>
    <xf numFmtId="0" fontId="24" fillId="0" borderId="2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25" fillId="0" borderId="0" xfId="0" applyFont="1" applyAlignment="1">
      <alignment horizontal="center" vertical="top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Normal" xfId="0" builtinId="0"/>
    <cellStyle name="Normal 10" xfId="15" xr:uid="{00000000-0005-0000-0000-000011000000}"/>
    <cellStyle name="Normal 10 3 2" xfId="25" xr:uid="{00000000-0005-0000-0000-000012000000}"/>
    <cellStyle name="Normal 10 5" xfId="19" xr:uid="{00000000-0005-0000-0000-000013000000}"/>
    <cellStyle name="Normal 11" xfId="5" xr:uid="{00000000-0005-0000-0000-000014000000}"/>
    <cellStyle name="Normal 2" xfId="6" xr:uid="{00000000-0005-0000-0000-000015000000}"/>
    <cellStyle name="Normal 2 10" xfId="16" xr:uid="{00000000-0005-0000-0000-000016000000}"/>
    <cellStyle name="Normal 2 14" xfId="62" xr:uid="{00000000-0005-0000-0000-000017000000}"/>
    <cellStyle name="Normal 2 19" xfId="35" xr:uid="{00000000-0005-0000-0000-000018000000}"/>
    <cellStyle name="Normal 2 2 2 4" xfId="24" xr:uid="{00000000-0005-0000-0000-000019000000}"/>
    <cellStyle name="Normal 2 3" xfId="30" xr:uid="{00000000-0005-0000-0000-00001A000000}"/>
    <cellStyle name="Normal 2 4" xfId="7" xr:uid="{00000000-0005-0000-0000-00001B000000}"/>
    <cellStyle name="Normal 2 4 2" xfId="37" xr:uid="{00000000-0005-0000-0000-00001C000000}"/>
    <cellStyle name="Normal 2 5" xfId="66" xr:uid="{00000000-0005-0000-0000-00001D000000}"/>
    <cellStyle name="Normal 20" xfId="45" xr:uid="{00000000-0005-0000-0000-00001E000000}"/>
    <cellStyle name="Normal 21" xfId="46" xr:uid="{00000000-0005-0000-0000-00001F000000}"/>
    <cellStyle name="Normal 22" xfId="48" xr:uid="{00000000-0005-0000-0000-000020000000}"/>
    <cellStyle name="Normal 23" xfId="50" xr:uid="{00000000-0005-0000-0000-000021000000}"/>
    <cellStyle name="Normal 24" xfId="51" xr:uid="{00000000-0005-0000-0000-000022000000}"/>
    <cellStyle name="Normal 25" xfId="53" xr:uid="{00000000-0005-0000-0000-000023000000}"/>
    <cellStyle name="Normal 26" xfId="52" xr:uid="{00000000-0005-0000-0000-000024000000}"/>
    <cellStyle name="Normal 28" xfId="59" xr:uid="{00000000-0005-0000-0000-000025000000}"/>
    <cellStyle name="Normal 29 3 2" xfId="44" xr:uid="{00000000-0005-0000-0000-000026000000}"/>
    <cellStyle name="Normal 3" xfId="1" xr:uid="{00000000-0005-0000-0000-000027000000}"/>
    <cellStyle name="Normal 3 16 2" xfId="36" xr:uid="{00000000-0005-0000-0000-000028000000}"/>
    <cellStyle name="Normal 3 2" xfId="13" xr:uid="{00000000-0005-0000-0000-000029000000}"/>
    <cellStyle name="Normal 3 2 3" xfId="14" xr:uid="{00000000-0005-0000-0000-00002A000000}"/>
    <cellStyle name="Normal 3 6" xfId="20" xr:uid="{00000000-0005-0000-0000-00002B000000}"/>
    <cellStyle name="Normal 30" xfId="8" xr:uid="{00000000-0005-0000-0000-00002C000000}"/>
    <cellStyle name="Normal 31" xfId="55" xr:uid="{00000000-0005-0000-0000-00002D000000}"/>
    <cellStyle name="Normal 32 2" xfId="18" xr:uid="{00000000-0005-0000-0000-00002E000000}"/>
    <cellStyle name="Normal 33" xfId="9" xr:uid="{00000000-0005-0000-0000-00002F000000}"/>
    <cellStyle name="Normal 4" xfId="11" xr:uid="{00000000-0005-0000-0000-000030000000}"/>
    <cellStyle name="Normal 4 10" xfId="28" xr:uid="{00000000-0005-0000-0000-000031000000}"/>
    <cellStyle name="Normal 4 28" xfId="33" xr:uid="{00000000-0005-0000-0000-000032000000}"/>
    <cellStyle name="Normal 5" xfId="68" xr:uid="{00000000-0005-0000-0000-000033000000}"/>
    <cellStyle name="Normal 5 16" xfId="34" xr:uid="{00000000-0005-0000-0000-000034000000}"/>
    <cellStyle name="Normal 54" xfId="58" xr:uid="{00000000-0005-0000-0000-000035000000}"/>
    <cellStyle name="Normal 54 4" xfId="23" xr:uid="{00000000-0005-0000-0000-000036000000}"/>
    <cellStyle name="Normal 55 2" xfId="29" xr:uid="{00000000-0005-0000-0000-000037000000}"/>
    <cellStyle name="Normal 57 2" xfId="26" xr:uid="{00000000-0005-0000-0000-000038000000}"/>
    <cellStyle name="Normal 59" xfId="22" xr:uid="{00000000-0005-0000-0000-000039000000}"/>
    <cellStyle name="Normal 6" xfId="39" xr:uid="{00000000-0005-0000-0000-00003A000000}"/>
    <cellStyle name="Normal 6 2" xfId="54" xr:uid="{00000000-0005-0000-0000-00003B000000}"/>
    <cellStyle name="Normal 68" xfId="21" xr:uid="{00000000-0005-0000-0000-00003C000000}"/>
    <cellStyle name="Normal 69" xfId="32" xr:uid="{00000000-0005-0000-0000-00003D000000}"/>
    <cellStyle name="Normal 69 2" xfId="63" xr:uid="{00000000-0005-0000-0000-00003E000000}"/>
    <cellStyle name="Normal 7 10" xfId="38" xr:uid="{00000000-0005-0000-0000-00003F000000}"/>
    <cellStyle name="Normal 70" xfId="41" xr:uid="{00000000-0005-0000-0000-000040000000}"/>
    <cellStyle name="Normal 70 2" xfId="64" xr:uid="{00000000-0005-0000-0000-000041000000}"/>
    <cellStyle name="Normal 71" xfId="40" xr:uid="{00000000-0005-0000-0000-000042000000}"/>
    <cellStyle name="Normal 71 2" xfId="61" xr:uid="{00000000-0005-0000-0000-000043000000}"/>
    <cellStyle name="Percent 2" xfId="10" xr:uid="{00000000-0005-0000-0000-000044000000}"/>
    <cellStyle name="Percent 3 4" xfId="42" xr:uid="{00000000-0005-0000-0000-000045000000}"/>
  </cellStyles>
  <dxfs count="8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4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135</xdr:colOff>
      <xdr:row>10</xdr:row>
      <xdr:rowOff>188410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210" y="231248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5420</xdr:colOff>
      <xdr:row>11</xdr:row>
      <xdr:rowOff>9525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1495" y="2324100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295275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52925" y="48577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</xdr:row>
      <xdr:rowOff>276225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362450" y="466725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5:I18" totalsRowCount="1" headerRowDxfId="80" dataDxfId="78" totalsRowDxfId="76" headerRowBorderDxfId="79" tableBorderDxfId="77" totalsRowBorderDxfId="75">
  <tableColumns count="9">
    <tableColumn id="1" xr3:uid="{00000000-0010-0000-0000-000001000000}" name="IPC No." dataDxfId="74" totalsRowDxfId="73"/>
    <tableColumn id="2" xr3:uid="{00000000-0010-0000-0000-000002000000}" name="IPC Submisstion_x000a_Date" dataDxfId="72" totalsRowDxfId="71"/>
    <tableColumn id="10" xr3:uid="{00000000-0010-0000-0000-00000A000000}" name="IPC Amount" totalsRowFunction="sum" dataDxfId="70" totalsRowDxfId="69" dataCellStyle="Comma"/>
    <tableColumn id="11" xr3:uid="{00000000-0010-0000-0000-00000B000000}" name="IPC Amount_x000a_for Price Adj." totalsRowFunction="sum" dataDxfId="68" totalsRowDxfId="67" dataCellStyle="Comma">
      <calculatedColumnFormula>Table243[[#This Row],[IPC Amount]]</calculatedColumnFormula>
    </tableColumn>
    <tableColumn id="3" xr3:uid="{00000000-0010-0000-0000-000003000000}" name="l" dataDxfId="66" totalsRowDxfId="65">
      <calculatedColumnFormula>BSnrb(Table243[[#This Row],[IPC Submisstion
Date]],Table243[[#Headers],[l]])</calculatedColumnFormula>
    </tableColumn>
    <tableColumn id="4" xr3:uid="{00000000-0010-0000-0000-000004000000}" name="m" dataDxfId="64" totalsRowDxfId="63">
      <calculatedColumnFormula>BSnrb(Table243[[#This Row],[IPC Submisstion
Date]],Table243[[#Headers],[m]])</calculatedColumnFormula>
    </tableColumn>
    <tableColumn id="5" xr3:uid="{00000000-0010-0000-0000-000005000000}" name="n" dataDxfId="62" totalsRowDxfId="61">
      <calculatedColumnFormula>BSnrb(Table243[[#This Row],[IPC Submisstion
Date]],Table243[[#Headers],[n]])</calculatedColumnFormula>
    </tableColumn>
    <tableColumn id="6" xr3:uid="{00000000-0010-0000-0000-000006000000}" name="Price Adj._x000a_factor" totalsRowLabel="TOTAL" dataDxfId="60" totalsRowDxfId="59">
      <calculatedColumnFormula>a+
b*Table243[[#This Row],[l]]/lo+
c_*Table243[[#This Row],[m]]/mo+
d*Table243[[#This Row],[n]]/no</calculatedColumnFormula>
    </tableColumn>
    <tableColumn id="9" xr3:uid="{00000000-0010-0000-0000-000009000000}" name="Net Price Adj._x000a_Amount" totalsRowFunction="sum" dataDxfId="58" totalsRowDxfId="57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34" displayName="Table2434" ref="A15:I18" totalsRowCount="1" headerRowDxfId="54" dataDxfId="52" totalsRowDxfId="50" headerRowBorderDxfId="53" tableBorderDxfId="51" totalsRowBorderDxfId="49">
  <tableColumns count="9">
    <tableColumn id="1" xr3:uid="{00000000-0010-0000-0100-000001000000}" name="IPC No." dataDxfId="48" totalsRowDxfId="8"/>
    <tableColumn id="2" xr3:uid="{00000000-0010-0000-0100-000002000000}" name="IPC Submisstion_x000a_Date" dataDxfId="47" totalsRowDxfId="7"/>
    <tableColumn id="10" xr3:uid="{00000000-0010-0000-0100-00000A000000}" name="IPC Amount" totalsRowFunction="sum" dataDxfId="46" totalsRowDxfId="6" dataCellStyle="Comma"/>
    <tableColumn id="11" xr3:uid="{00000000-0010-0000-0100-00000B000000}" name="IPC Amount_x000a_for Price Adj." totalsRowFunction="sum" dataDxfId="45" totalsRowDxfId="5" dataCellStyle="Comma">
      <calculatedColumnFormula>Table2434[[#This Row],[IPC Amount]]</calculatedColumnFormula>
    </tableColumn>
    <tableColumn id="3" xr3:uid="{00000000-0010-0000-0100-000003000000}" name="l" dataDxfId="44" totalsRowDxfId="4">
      <calculatedColumnFormula>ADnrb(Table2434[[#This Row],[IPC Submisstion
Date]],Table2434[[#Headers],[l]])</calculatedColumnFormula>
    </tableColumn>
    <tableColumn id="4" xr3:uid="{00000000-0010-0000-0100-000004000000}" name="m" dataDxfId="43" totalsRowDxfId="3">
      <calculatedColumnFormula>ADnrb(Table2434[[#This Row],[IPC Submisstion
Date]],Table2434[[#Headers],[m]])</calculatedColumnFormula>
    </tableColumn>
    <tableColumn id="5" xr3:uid="{00000000-0010-0000-0100-000005000000}" name="n" dataDxfId="42" totalsRowDxfId="2">
      <calculatedColumnFormula>ADnrb(Table2434[[#This Row],[IPC Submisstion
Date]],Table2434[[#Headers],[n]])</calculatedColumnFormula>
    </tableColumn>
    <tableColumn id="6" xr3:uid="{00000000-0010-0000-0100-000006000000}" name="Price Adj._x000a_factor" totalsRowLabel="TOTAL" dataDxfId="41" totalsRowDxfId="1">
      <calculatedColumnFormula>a+
b*Table2434[[#This Row],[l]]/lo+
c_*Table2434[[#This Row],[m]]/mo+
d*Table2434[[#This Row],[n]]/no</calculatedColumnFormula>
    </tableColumn>
    <tableColumn id="9" xr3:uid="{00000000-0010-0000-0100-000009000000}" name="Net Price Adj._x000a_Amount" totalsRowFunction="sum" dataDxfId="40" totalsRowDxfId="0" dataCellStyle="Comma">
      <calculatedColumnFormula>(Table2434[[#This Row],[Price Adj.
factor]]-1) * Table2434[[#This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rojectTable" displayName="projectTable" ref="A7:E8" totalsRowShown="0" headerRowDxfId="39" headerRowBorderDxfId="38" tableBorderDxfId="37" totalsRowBorderDxfId="36">
  <autoFilter ref="A7:E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Project" dataDxfId="35"/>
    <tableColumn id="2" xr3:uid="{00000000-0010-0000-0200-000002000000}" name="Actual Date_x000a_of Completion" dataDxfId="34"/>
    <tableColumn id="3" xr3:uid="{00000000-0010-0000-0200-000003000000}" name="National Wholesale_x000a_Price Index (overall)" dataDxfId="33">
      <calculatedColumnFormula>BSnrb(projectTable[[#This Row],[Actual Date
of Completion]],"o")</calculatedColumnFormula>
    </tableColumn>
    <tableColumn id="4" xr3:uid="{00000000-0010-0000-0200-000004000000}" name="Amount Paid on_x000a_Completion (w/o VAT)" dataDxfId="32" dataCellStyle="Comma"/>
    <tableColumn id="5" xr3:uid="{00000000-0010-0000-0200-000005000000}" name="Present Value_x000a_(w/o VAT)" dataDxfId="31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rojectTable6" displayName="projectTable6" ref="A7:E8" totalsRowShown="0" headerRowDxfId="30" dataDxfId="28" headerRowBorderDxfId="29" tableBorderDxfId="27" totalsRowBorderDxfId="26">
  <autoFilter ref="A7:E8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Project" dataDxfId="25"/>
    <tableColumn id="2" xr3:uid="{00000000-0010-0000-0300-000002000000}" name="Actual Date_x000a_of Completion" dataDxfId="24"/>
    <tableColumn id="3" xr3:uid="{00000000-0010-0000-0300-000003000000}" name="National Wholesale_x000a_Price Index (overall)" dataDxfId="23">
      <calculatedColumnFormula>ADnrb(projectTable6[[#This Row],[Actual Date
of Completion]],"o")</calculatedColumnFormula>
    </tableColumn>
    <tableColumn id="4" xr3:uid="{00000000-0010-0000-0300-000004000000}" name="Amount Paid on_x000a_Completion (w/o VAT)" dataDxfId="22" dataCellStyle="Comma"/>
    <tableColumn id="5" xr3:uid="{00000000-0010-0000-0300-000005000000}" name="Present Value_x000a_(w/o VAT)" dataDxfId="21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1" displayName="Table1" ref="A1:F120" totalsRowShown="0" headerRowDxfId="14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SN" dataDxfId="13"/>
    <tableColumn id="2" xr3:uid="{00000000-0010-0000-0400-000002000000}" name="Date"/>
    <tableColumn id="3" xr3:uid="{00000000-0010-0000-0400-000003000000}" name="Labour" dataDxfId="12"/>
    <tableColumn id="4" xr3:uid="{00000000-0010-0000-0400-000004000000}" name="Material" dataDxfId="11"/>
    <tableColumn id="5" xr3:uid="{00000000-0010-0000-0400-000005000000}" name="Equipment" dataDxfId="10"/>
    <tableColumn id="6" xr3:uid="{00000000-0010-0000-0400-000006000000}" name="Overall" dataDxfId="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  <pageSetUpPr fitToPage="1"/>
  </sheetPr>
  <dimension ref="A1:AJ97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90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>
      <c r="A3" s="8" t="s">
        <v>89</v>
      </c>
      <c r="B3" s="57"/>
      <c r="C3" s="57"/>
      <c r="D3" s="57"/>
      <c r="E3" s="57"/>
      <c r="F3" s="57"/>
      <c r="G3" s="57"/>
      <c r="H3" s="57"/>
      <c r="I3" s="57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 ht="30.75" customHeight="1">
      <c r="A5" s="21" t="s">
        <v>43</v>
      </c>
      <c r="B5" s="56"/>
      <c r="C5" s="56"/>
      <c r="D5" s="56"/>
      <c r="E5" s="56"/>
      <c r="F5" s="56"/>
      <c r="G5" s="56"/>
      <c r="H5" s="56"/>
      <c r="I5" s="56"/>
    </row>
    <row r="6" spans="1:9">
      <c r="A6" s="8"/>
      <c r="B6" s="8"/>
    </row>
    <row r="7" spans="1:9">
      <c r="A7" s="58" t="s">
        <v>92</v>
      </c>
      <c r="B7" s="54" t="s">
        <v>91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71</v>
      </c>
      <c r="B9" s="9">
        <f>BSnrb($A$9,"l")</f>
        <v>474.7</v>
      </c>
      <c r="C9" s="9">
        <f>BSnrb($A$9,"m")</f>
        <v>107.217766</v>
      </c>
      <c r="D9" s="9">
        <f>BSnrb($A$9,"n")</f>
        <v>104.40072000000001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26" t="s">
        <v>62</v>
      </c>
      <c r="B12" s="26" t="s">
        <v>63</v>
      </c>
      <c r="C12" s="26" t="s">
        <v>64</v>
      </c>
      <c r="D12" s="26" t="s">
        <v>65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61</v>
      </c>
      <c r="F14" s="60"/>
      <c r="G14" s="60"/>
    </row>
    <row r="15" spans="1:9" ht="45">
      <c r="A15" s="2" t="s">
        <v>60</v>
      </c>
      <c r="B15" s="4" t="s">
        <v>59</v>
      </c>
      <c r="C15" s="3" t="s">
        <v>66</v>
      </c>
      <c r="D15" s="4" t="s">
        <v>67</v>
      </c>
      <c r="E15" s="3" t="s">
        <v>46</v>
      </c>
      <c r="F15" s="3" t="s">
        <v>47</v>
      </c>
      <c r="G15" s="3" t="s">
        <v>48</v>
      </c>
      <c r="H15" s="4" t="s">
        <v>51</v>
      </c>
      <c r="I15" s="26" t="s">
        <v>55</v>
      </c>
    </row>
    <row r="16" spans="1:9">
      <c r="A16" s="25">
        <v>1</v>
      </c>
      <c r="B16" s="17" t="s">
        <v>72</v>
      </c>
      <c r="C16" s="12"/>
      <c r="D16" s="6">
        <f>Table243[[#This Row],[IPC Amount]]</f>
        <v>0</v>
      </c>
      <c r="E16" s="13">
        <f>BSnrb(Table243[[#This Row],[IPC Submisstion
Date]],Table243[[#Headers],[l]])</f>
        <v>500.8381542398198</v>
      </c>
      <c r="F16" s="13">
        <f>BSnrb(Table243[[#This Row],[IPC Submisstion
Date]],Table243[[#Headers],[m]])</f>
        <v>103.13581000000001</v>
      </c>
      <c r="G16" s="13">
        <f>BSnrb(Table243[[#This Row],[IPC Submisstion
Date]],Table243[[#Headers],[n]])</f>
        <v>107.676216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Bot="1">
      <c r="A17" s="34">
        <v>2</v>
      </c>
      <c r="B17" s="17" t="s">
        <v>86</v>
      </c>
      <c r="C17" s="12"/>
      <c r="D17" s="6">
        <f>Table243[[#This Row],[IPC Amount]]</f>
        <v>0</v>
      </c>
      <c r="E17" s="13">
        <f>BSnrb(Table243[[#This Row],[IPC Submisstion
Date]],Table243[[#Headers],[l]])</f>
        <v>514.52547814384309</v>
      </c>
      <c r="F17" s="13">
        <f>BSnrb(Table243[[#This Row],[IPC Submisstion
Date]],Table243[[#Headers],[m]])</f>
        <v>108.20650000000001</v>
      </c>
      <c r="G17" s="13">
        <f>BSnrb(Table243[[#This Row],[IPC Submisstion
Date]],Table243[[#Headers],[n]])</f>
        <v>113.512</v>
      </c>
      <c r="H17" s="9">
        <f>a+
b*Table243[[#This Row],[l]]/lo+
c_*Table243[[#This Row],[m]]/mo+
d*Table243[[#This Row],[n]]/no</f>
        <v>0.15</v>
      </c>
      <c r="I17" s="6">
        <f>(Table243[[#This Row],[Price Adj.
factor]]-1) * Table243[[#This Row],[IPC Amount
for Price Adj.]]</f>
        <v>0</v>
      </c>
    </row>
    <row r="18" spans="1:9" ht="15.75" thickTop="1">
      <c r="A18" s="19"/>
      <c r="B18" s="19"/>
      <c r="C18" s="19">
        <f>SUBTOTAL(109,Table243[IPC Amount])</f>
        <v>0</v>
      </c>
      <c r="D18" s="19">
        <f>SUBTOTAL(109,Table243[IPC Amount
for Price Adj.])</f>
        <v>0</v>
      </c>
      <c r="E18" s="19"/>
      <c r="F18" s="19"/>
      <c r="G18" s="19"/>
      <c r="H18" s="29" t="s">
        <v>53</v>
      </c>
      <c r="I18" s="20">
        <f>SUBTOTAL(109,Table243[Net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68</v>
      </c>
      <c r="I19" s="22">
        <f>Table243[[#Totals],[Net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69</v>
      </c>
      <c r="I20" s="22">
        <f>Table243[[#Totals],[Net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56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57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82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A28:I28"/>
    <mergeCell ref="A11:E11"/>
    <mergeCell ref="A1:I1"/>
    <mergeCell ref="B5:I5"/>
    <mergeCell ref="B4:I4"/>
    <mergeCell ref="A7:A8"/>
    <mergeCell ref="B7:D7"/>
    <mergeCell ref="B3:I3"/>
    <mergeCell ref="E14:G14"/>
    <mergeCell ref="A23:I23"/>
    <mergeCell ref="A24:I24"/>
    <mergeCell ref="A25:I25"/>
  </mergeCells>
  <conditionalFormatting sqref="I16:I17">
    <cfRule type="cellIs" dxfId="82" priority="2" operator="lessThan">
      <formula>0</formula>
    </cfRule>
  </conditionalFormatting>
  <conditionalFormatting sqref="I18:I22">
    <cfRule type="cellIs" dxfId="81" priority="1" operator="lessThan">
      <formula>0</formula>
    </cfRule>
  </conditionalFormatting>
  <printOptions horizontalCentered="1" verticalCentered="1"/>
  <pageMargins left="0.70866141732283472" right="0.70866141732283472" top="1.1417322834645669" bottom="0.35433070866141736" header="0.31496062992125984" footer="0.31496062992125984"/>
  <pageSetup paperSize="9" scale="97" fitToHeight="0" orientation="landscape" horizontalDpi="1200" verticalDpi="120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F0"/>
    <pageSetUpPr fitToPage="1"/>
  </sheetPr>
  <dimension ref="A1:AJ97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90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>
      <c r="A3" s="8" t="s">
        <v>89</v>
      </c>
      <c r="B3" s="57"/>
      <c r="C3" s="57"/>
      <c r="D3" s="57"/>
      <c r="E3" s="57"/>
      <c r="F3" s="57"/>
      <c r="G3" s="57"/>
      <c r="H3" s="57"/>
      <c r="I3" s="57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 ht="30.75" customHeight="1">
      <c r="A5" s="21" t="s">
        <v>43</v>
      </c>
      <c r="B5" s="56"/>
      <c r="C5" s="56"/>
      <c r="D5" s="56"/>
      <c r="E5" s="56"/>
      <c r="F5" s="56"/>
      <c r="G5" s="56"/>
      <c r="H5" s="56"/>
      <c r="I5" s="56"/>
    </row>
    <row r="6" spans="1:9">
      <c r="A6" s="8"/>
      <c r="B6" s="8"/>
    </row>
    <row r="7" spans="1:9" ht="15" customHeight="1">
      <c r="A7" s="58" t="s">
        <v>92</v>
      </c>
      <c r="B7" s="54" t="s">
        <v>91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88</v>
      </c>
      <c r="B9" s="9">
        <f>ADnrb($A$9,"l")</f>
        <v>500.8381542398198</v>
      </c>
      <c r="C9" s="9">
        <f>ADnrb($A$9,"m")</f>
        <v>102.328766</v>
      </c>
      <c r="D9" s="9">
        <f>ADnrb($A$9,"n")</f>
        <v>107.387505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35" t="s">
        <v>62</v>
      </c>
      <c r="B12" s="35" t="s">
        <v>63</v>
      </c>
      <c r="C12" s="35" t="s">
        <v>64</v>
      </c>
      <c r="D12" s="35" t="s">
        <v>65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61</v>
      </c>
      <c r="F14" s="60"/>
      <c r="G14" s="60"/>
    </row>
    <row r="15" spans="1:9" ht="45">
      <c r="A15" s="2" t="s">
        <v>60</v>
      </c>
      <c r="B15" s="4" t="s">
        <v>59</v>
      </c>
      <c r="C15" s="3" t="s">
        <v>66</v>
      </c>
      <c r="D15" s="4" t="s">
        <v>67</v>
      </c>
      <c r="E15" s="3" t="s">
        <v>46</v>
      </c>
      <c r="F15" s="3" t="s">
        <v>47</v>
      </c>
      <c r="G15" s="3" t="s">
        <v>48</v>
      </c>
      <c r="H15" s="4" t="s">
        <v>51</v>
      </c>
      <c r="I15" s="35" t="s">
        <v>55</v>
      </c>
    </row>
    <row r="16" spans="1:9">
      <c r="A16" s="34">
        <v>1</v>
      </c>
      <c r="B16" s="17" t="s">
        <v>87</v>
      </c>
      <c r="C16" s="12"/>
      <c r="D16" s="6">
        <f>Table2434[[#This Row],[IPC Amount]]</f>
        <v>0</v>
      </c>
      <c r="E16" s="13">
        <f>ADnrb(Table2434[[#This Row],[IPC Submisstion
Date]],Table2434[[#Headers],[l]])</f>
        <v>500.96844064228122</v>
      </c>
      <c r="F16" s="13">
        <f>ADnrb(Table2434[[#This Row],[IPC Submisstion
Date]],Table2434[[#Headers],[m]])</f>
        <v>105.03371</v>
      </c>
      <c r="G16" s="13">
        <f>ADnrb(Table2434[[#This Row],[IPC Submisstion
Date]],Table2434[[#Headers],[n]])</f>
        <v>112.74575</v>
      </c>
      <c r="H16" s="9">
        <f>a+
b*Table2434[[#This Row],[l]]/lo+
c_*Table2434[[#This Row],[m]]/mo+
d*Table2434[[#This Row],[n]]/no</f>
        <v>0.15</v>
      </c>
      <c r="I16" s="6">
        <f>(Table2434[[#This Row],[Price Adj.
factor]]-1) * Table2434[[#This Row],[IPC Amount
for Price Adj.]]</f>
        <v>0</v>
      </c>
    </row>
    <row r="17" spans="1:9" ht="15.75" thickBot="1">
      <c r="A17" s="34">
        <v>2</v>
      </c>
      <c r="B17" s="17" t="s">
        <v>84</v>
      </c>
      <c r="C17" s="12"/>
      <c r="D17" s="6">
        <f>Table2434[[#This Row],[IPC Amount]]</f>
        <v>0</v>
      </c>
      <c r="E17" s="13">
        <f>ADnrb(Table2434[[#This Row],[IPC Submisstion
Date]],Table2434[[#Headers],[l]])</f>
        <v>526.8947436082924</v>
      </c>
      <c r="F17" s="13">
        <f>ADnrb(Table2434[[#This Row],[IPC Submisstion
Date]],Table2434[[#Headers],[m]])</f>
        <v>125.87631</v>
      </c>
      <c r="G17" s="13">
        <f>ADnrb(Table2434[[#This Row],[IPC Submisstion
Date]],Table2434[[#Headers],[n]])</f>
        <v>122.78874</v>
      </c>
      <c r="H17" s="9">
        <f>a+
b*Table2434[[#This Row],[l]]/lo+
c_*Table2434[[#This Row],[m]]/mo+
d*Table2434[[#This Row],[n]]/no</f>
        <v>0.15</v>
      </c>
      <c r="I17" s="6">
        <f>(Table2434[[#This Row],[Price Adj.
factor]]-1) * Table2434[[#This Row],[IPC Amount
for Price Adj.]]</f>
        <v>0</v>
      </c>
    </row>
    <row r="18" spans="1:9" ht="15.75" thickTop="1">
      <c r="A18" s="19"/>
      <c r="B18" s="19"/>
      <c r="C18" s="19">
        <f>SUBTOTAL(109,Table2434[IPC Amount])</f>
        <v>0</v>
      </c>
      <c r="D18" s="19">
        <f>SUBTOTAL(109,Table2434[IPC Amount
for Price Adj.])</f>
        <v>0</v>
      </c>
      <c r="E18" s="19"/>
      <c r="F18" s="19"/>
      <c r="G18" s="19"/>
      <c r="H18" s="29" t="s">
        <v>53</v>
      </c>
      <c r="I18" s="20">
        <f>SUBTOTAL(109,Table2434[Net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68</v>
      </c>
      <c r="I19" s="22">
        <f>Table2434[[#Totals],[Net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69</v>
      </c>
      <c r="I20" s="22">
        <f>Table2434[[#Totals],[Net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56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57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82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E14:G14"/>
    <mergeCell ref="A23:I23"/>
    <mergeCell ref="A24:I24"/>
    <mergeCell ref="A25:I25"/>
    <mergeCell ref="A28:I28"/>
    <mergeCell ref="B3:I3"/>
    <mergeCell ref="A11:E11"/>
    <mergeCell ref="A1:I1"/>
    <mergeCell ref="B5:I5"/>
    <mergeCell ref="B4:I4"/>
    <mergeCell ref="A7:A8"/>
    <mergeCell ref="B7:D7"/>
  </mergeCells>
  <conditionalFormatting sqref="I16:I17">
    <cfRule type="cellIs" dxfId="56" priority="2" operator="lessThan">
      <formula>0</formula>
    </cfRule>
  </conditionalFormatting>
  <conditionalFormatting sqref="I18:I22">
    <cfRule type="cellIs" dxfId="55" priority="1" operator="lessThan">
      <formula>0</formula>
    </cfRule>
  </conditionalFormatting>
  <printOptions horizontalCentered="1" vertic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AJ9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43" customWidth="1"/>
    <col min="2" max="2" width="23" customWidth="1"/>
    <col min="3" max="3" width="24.7109375" customWidth="1"/>
    <col min="4" max="4" width="27" customWidth="1"/>
    <col min="5" max="5" width="25.140625" customWidth="1"/>
  </cols>
  <sheetData>
    <row r="1" spans="1:36" s="5" customFormat="1" ht="36">
      <c r="A1" s="63" t="s">
        <v>93</v>
      </c>
      <c r="B1" s="63"/>
      <c r="C1" s="63"/>
      <c r="D1" s="63"/>
      <c r="E1" s="63"/>
      <c r="F1" s="36"/>
      <c r="G1" s="36"/>
      <c r="H1" s="36"/>
      <c r="I1" s="36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5" customFormat="1" ht="36.75" customHeight="1">
      <c r="A2" s="39"/>
      <c r="B2" s="39"/>
      <c r="C2" s="39"/>
      <c r="D2" s="39"/>
      <c r="E2" s="39"/>
      <c r="F2" s="7"/>
      <c r="G2" s="7"/>
      <c r="H2" s="7"/>
      <c r="I2" s="7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40" t="s">
        <v>73</v>
      </c>
      <c r="B3" s="41" t="str">
        <f ca="1">ad2bs(TODAY())</f>
        <v>2079-3-28</v>
      </c>
      <c r="C3" s="38"/>
      <c r="D3" s="38"/>
      <c r="E3" s="38"/>
    </row>
    <row r="4" spans="1:36" ht="37.5">
      <c r="A4" s="42" t="s">
        <v>83</v>
      </c>
      <c r="B4" s="43">
        <f ca="1">BSnrb(presentDate,"qtr")</f>
        <v>2022.05</v>
      </c>
      <c r="C4" s="38"/>
      <c r="D4" s="38"/>
      <c r="E4" s="38"/>
    </row>
    <row r="5" spans="1:36" ht="37.5">
      <c r="A5" s="42" t="s">
        <v>75</v>
      </c>
      <c r="B5" s="43">
        <f ca="1">BSnrb(presentDate,"o")</f>
        <v>140.92689999999999</v>
      </c>
      <c r="C5" s="38"/>
      <c r="D5" s="38"/>
      <c r="E5" s="38"/>
    </row>
    <row r="6" spans="1:36" ht="18.75">
      <c r="A6" s="38"/>
      <c r="B6" s="38"/>
      <c r="C6" s="38"/>
      <c r="D6" s="38"/>
      <c r="E6" s="38"/>
    </row>
    <row r="7" spans="1:36" ht="37.5">
      <c r="A7" s="49" t="s">
        <v>74</v>
      </c>
      <c r="B7" s="50" t="s">
        <v>76</v>
      </c>
      <c r="C7" s="51" t="s">
        <v>77</v>
      </c>
      <c r="D7" s="51" t="s">
        <v>78</v>
      </c>
      <c r="E7" s="52" t="s">
        <v>79</v>
      </c>
    </row>
    <row r="8" spans="1:36" ht="18.75">
      <c r="A8" s="44" t="s">
        <v>81</v>
      </c>
      <c r="B8" s="45" t="s">
        <v>80</v>
      </c>
      <c r="C8" s="46">
        <f>BSnrb(projectTable[[#This Row],[Actual Date
of Completion]],"o")</f>
        <v>100.45525221079566</v>
      </c>
      <c r="D8" s="47">
        <v>10000000</v>
      </c>
      <c r="E8" s="48">
        <f t="shared" ref="E8" ca="1" si="0">amount*presentIndex/originalIndex</f>
        <v>14028823.470999653</v>
      </c>
    </row>
    <row r="9" spans="1:36" ht="36">
      <c r="A9" s="63"/>
      <c r="B9" s="63"/>
      <c r="C9" s="63"/>
      <c r="D9" s="63"/>
      <c r="E9" s="63"/>
    </row>
  </sheetData>
  <mergeCells count="2">
    <mergeCell ref="A1:E1"/>
    <mergeCell ref="A9:E9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F0"/>
    <pageSetUpPr fitToPage="1"/>
  </sheetPr>
  <dimension ref="A1:I8"/>
  <sheetViews>
    <sheetView showGridLines="0" zoomScaleNormal="100" zoomScaleSheetLayoutView="100" workbookViewId="0">
      <selection activeCell="A8" sqref="A8"/>
    </sheetView>
  </sheetViews>
  <sheetFormatPr defaultRowHeight="18.75"/>
  <cols>
    <col min="1" max="1" width="43" style="38" customWidth="1"/>
    <col min="2" max="2" width="23" style="38" customWidth="1"/>
    <col min="3" max="3" width="24.7109375" style="38" customWidth="1"/>
    <col min="4" max="4" width="27" style="38" customWidth="1"/>
    <col min="5" max="5" width="25.140625" style="38" customWidth="1"/>
    <col min="6" max="16384" width="9.140625" style="38"/>
  </cols>
  <sheetData>
    <row r="1" spans="1:9" ht="36">
      <c r="A1" s="63" t="s">
        <v>93</v>
      </c>
      <c r="B1" s="63"/>
      <c r="C1" s="63"/>
      <c r="D1" s="63"/>
      <c r="E1" s="63"/>
      <c r="F1" s="37"/>
      <c r="G1" s="37"/>
      <c r="H1" s="37"/>
      <c r="I1" s="37"/>
    </row>
    <row r="2" spans="1:9" ht="38.25" customHeight="1">
      <c r="A2" s="39"/>
      <c r="B2" s="39"/>
      <c r="C2" s="39"/>
      <c r="D2" s="39"/>
      <c r="E2" s="39"/>
      <c r="F2" s="39"/>
      <c r="G2" s="39"/>
      <c r="H2" s="39"/>
      <c r="I2" s="39"/>
    </row>
    <row r="3" spans="1:9">
      <c r="A3" s="40" t="s">
        <v>73</v>
      </c>
      <c r="B3" s="41">
        <f ca="1">TODAY()</f>
        <v>44754</v>
      </c>
    </row>
    <row r="4" spans="1:9" ht="37.5">
      <c r="A4" s="42" t="s">
        <v>83</v>
      </c>
      <c r="B4" s="43">
        <f ca="1">ADnrb(presentDate,"qtr")</f>
        <v>2022.05</v>
      </c>
    </row>
    <row r="5" spans="1:9" ht="37.5">
      <c r="A5" s="42" t="s">
        <v>75</v>
      </c>
      <c r="B5" s="43">
        <f ca="1">ADnrb(presentDate,"o")</f>
        <v>140.92689999999999</v>
      </c>
    </row>
    <row r="7" spans="1:9" ht="37.5">
      <c r="A7" s="49" t="s">
        <v>74</v>
      </c>
      <c r="B7" s="50" t="s">
        <v>76</v>
      </c>
      <c r="C7" s="51" t="s">
        <v>77</v>
      </c>
      <c r="D7" s="51" t="s">
        <v>78</v>
      </c>
      <c r="E7" s="52" t="s">
        <v>79</v>
      </c>
    </row>
    <row r="8" spans="1:9">
      <c r="A8" s="44" t="s">
        <v>81</v>
      </c>
      <c r="B8" s="45" t="s">
        <v>85</v>
      </c>
      <c r="C8" s="46">
        <f>ADnrb(projectTable6[[#This Row],[Actual Date
of Completion]],"o")</f>
        <v>98.641382967678069</v>
      </c>
      <c r="D8" s="47">
        <v>10000000</v>
      </c>
      <c r="E8" s="48">
        <f t="shared" ref="E8" ca="1" si="0">amount*presentIndex/originalIndex</f>
        <v>14286792.80035821</v>
      </c>
    </row>
  </sheetData>
  <mergeCells count="1">
    <mergeCell ref="A1:E1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FF00"/>
  </sheetPr>
  <dimension ref="A1:K120"/>
  <sheetViews>
    <sheetView topLeftCell="A100" zoomScaleNormal="100" workbookViewId="0">
      <selection activeCell="A119" sqref="A119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70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58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>
        <v>2022.05</v>
      </c>
      <c r="B118" t="s">
        <v>24</v>
      </c>
      <c r="C118" s="15">
        <v>541.81853276662503</v>
      </c>
      <c r="D118" s="15">
        <v>141.30508</v>
      </c>
      <c r="E118" s="15">
        <v>124.46802</v>
      </c>
      <c r="F118" s="15">
        <v>140.92689999999999</v>
      </c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20" priority="5">
      <formula>RIGHT($B2,3)="Qtr"</formula>
    </cfRule>
    <cfRule type="expression" dxfId="19" priority="6">
      <formula>OR(LEFT($B2,1)="2", LEFT($B2,1)="1")</formula>
    </cfRule>
  </conditionalFormatting>
  <conditionalFormatting sqref="A104:F104">
    <cfRule type="expression" dxfId="18" priority="3">
      <formula>RIGHT($B104,3)="Qtr"</formula>
    </cfRule>
    <cfRule type="expression" dxfId="17" priority="4">
      <formula>OR(LEFT($B104,1)="2", LEFT($B104,1)="1")</formula>
    </cfRule>
  </conditionalFormatting>
  <conditionalFormatting sqref="F2:F120">
    <cfRule type="expression" dxfId="16" priority="1">
      <formula>RIGHT($B2,3)="Qtr"</formula>
    </cfRule>
    <cfRule type="expression" dxfId="15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IPC-BS</vt:lpstr>
      <vt:lpstr>IPC-AD</vt:lpstr>
      <vt:lpstr>Project-BS</vt:lpstr>
      <vt:lpstr>Project-AD</vt:lpstr>
      <vt:lpstr>Indices</vt:lpstr>
      <vt:lpstr>'IPC-AD'!a</vt:lpstr>
      <vt:lpstr>'IPC-BS'!a</vt:lpstr>
      <vt:lpstr>'IPC-AD'!amount</vt:lpstr>
      <vt:lpstr>'Project-AD'!amount</vt:lpstr>
      <vt:lpstr>amount</vt:lpstr>
      <vt:lpstr>'IPC-AD'!b</vt:lpstr>
      <vt:lpstr>'IPC-BS'!b</vt:lpstr>
      <vt:lpstr>'IPC-AD'!c_</vt:lpstr>
      <vt:lpstr>'IPC-BS'!c_</vt:lpstr>
      <vt:lpstr>'IPC-AD'!completionDate</vt:lpstr>
      <vt:lpstr>'Project-AD'!completionDate</vt:lpstr>
      <vt:lpstr>completionDate</vt:lpstr>
      <vt:lpstr>'IPC-AD'!d</vt:lpstr>
      <vt:lpstr>'IPC-BS'!d</vt:lpstr>
      <vt:lpstr>'IPC-AD'!dateType</vt:lpstr>
      <vt:lpstr>dateType</vt:lpstr>
      <vt:lpstr>'Project-AD'!dateType1</vt:lpstr>
      <vt:lpstr>dateType1</vt:lpstr>
      <vt:lpstr>'IPC-AD'!IPCtable</vt:lpstr>
      <vt:lpstr>IPCtable</vt:lpstr>
      <vt:lpstr>'IPC-AD'!lo</vt:lpstr>
      <vt:lpstr>'IPC-BS'!lo</vt:lpstr>
      <vt:lpstr>'IPC-AD'!mo</vt:lpstr>
      <vt:lpstr>'IPC-BS'!mo</vt:lpstr>
      <vt:lpstr>'IPC-AD'!no</vt:lpstr>
      <vt:lpstr>'IPC-BS'!no</vt:lpstr>
      <vt:lpstr>'IPC-AD'!originalIndex</vt:lpstr>
      <vt:lpstr>'Project-AD'!originalIndex</vt:lpstr>
      <vt:lpstr>originalIndex</vt:lpstr>
      <vt:lpstr>'Project-AD'!presentDate</vt:lpstr>
      <vt:lpstr>presentDate</vt:lpstr>
      <vt:lpstr>'Project-AD'!presentIndex</vt:lpstr>
      <vt:lpstr>presentIndex</vt:lpstr>
      <vt:lpstr>'IPC-AD'!Print_Area</vt:lpstr>
      <vt:lpstr>'IPC-BS'!Print_Area</vt:lpstr>
      <vt:lpstr>'Project-AD'!Print_Area</vt:lpstr>
      <vt:lpstr>'Project-BS'!Print_Area</vt:lpstr>
      <vt:lpstr>'IPC-AD'!VAT</vt:lpstr>
      <vt:lpstr>'IPC-BS'!VAT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2022-07-11T03:36:47Z</cp:lastPrinted>
  <dcterms:created xsi:type="dcterms:W3CDTF">2021-11-26T02:59:12Z</dcterms:created>
  <dcterms:modified xsi:type="dcterms:W3CDTF">2022-07-12T06:37:18Z</dcterms:modified>
</cp:coreProperties>
</file>