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A0A27957-45E1-4D39-96F1-2F395592FEE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S" sheetId="5" r:id="rId1"/>
    <sheet name="AD" sheetId="3" r:id="rId2"/>
    <sheet name="Indices" sheetId="2" r:id="rId3"/>
  </sheets>
  <functionGroups builtInGroupCount="19"/>
  <definedNames>
    <definedName name="a" localSheetId="1">AD!$A$12</definedName>
    <definedName name="a" localSheetId="0">BS!$A$12</definedName>
    <definedName name="a">#REF!</definedName>
    <definedName name="b" localSheetId="1">AD!$B$12</definedName>
    <definedName name="b" localSheetId="0">BS!$B$12</definedName>
    <definedName name="b">#REF!</definedName>
    <definedName name="c_" localSheetId="1">AD!$C$12</definedName>
    <definedName name="c_" localSheetId="0">BS!$C$12</definedName>
    <definedName name="c_">#REF!</definedName>
    <definedName name="d" localSheetId="1">AD!$D$12</definedName>
    <definedName name="d" localSheetId="0">BS!$D$12</definedName>
    <definedName name="d">#REF!</definedName>
    <definedName name="lo" localSheetId="1">AD!$B$8</definedName>
    <definedName name="lo" localSheetId="0">BS!$B$8</definedName>
    <definedName name="lo">#REF!</definedName>
    <definedName name="mo" localSheetId="1">AD!$C$8</definedName>
    <definedName name="mo" localSheetId="0">BS!$C$8</definedName>
    <definedName name="mo">#REF!</definedName>
    <definedName name="no" localSheetId="1">AD!$D$8</definedName>
    <definedName name="no" localSheetId="0">BS!$D$8</definedName>
    <definedName name="no">#REF!</definedName>
    <definedName name="_xlnm.Print_Area" localSheetId="1">AD!$A$1:$I$25</definedName>
    <definedName name="_xlnm.Print_Area" localSheetId="0">BS!$A$1:$I$25</definedName>
    <definedName name="VAT" localSheetId="0">BS!$I$19</definedName>
    <definedName name="VAT">AD!$I$19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7" i="3" l="1"/>
  <c r="D17" i="5"/>
  <c r="C18" i="5"/>
  <c r="D16" i="5"/>
  <c r="D15" i="5"/>
  <c r="E12" i="5"/>
  <c r="E17" i="3"/>
  <c r="F17" i="3"/>
  <c r="G17" i="3"/>
  <c r="G17" i="5"/>
  <c r="E17" i="5"/>
  <c r="F17" i="5"/>
  <c r="G15" i="5"/>
  <c r="G16" i="5"/>
  <c r="F15" i="5"/>
  <c r="F16" i="5"/>
  <c r="E15" i="5"/>
  <c r="E16" i="5"/>
  <c r="B8" i="5"/>
  <c r="C8" i="5"/>
  <c r="D8" i="5"/>
  <c r="H17" i="5" l="1"/>
  <c r="I17" i="5" s="1"/>
  <c r="D18" i="5"/>
  <c r="H15" i="5"/>
  <c r="I15" i="5" s="1"/>
  <c r="H16" i="5"/>
  <c r="I16" i="5" s="1"/>
  <c r="I18" i="5" l="1"/>
  <c r="I19" i="5" s="1"/>
  <c r="I20" i="5" s="1"/>
  <c r="C8" i="3" l="1"/>
  <c r="B8" i="3"/>
  <c r="D15" i="3" l="1"/>
  <c r="D16" i="3"/>
  <c r="C18" i="3"/>
  <c r="E12" i="3"/>
  <c r="G16" i="3"/>
  <c r="D8" i="3"/>
  <c r="F15" i="3"/>
  <c r="E16" i="3"/>
  <c r="G15" i="3"/>
  <c r="F16" i="3"/>
  <c r="E15" i="3"/>
  <c r="H17" i="3" l="1"/>
  <c r="I17" i="3" s="1"/>
  <c r="H15" i="3"/>
  <c r="I15" i="3" s="1"/>
  <c r="H16" i="3"/>
  <c r="I16" i="3" s="1"/>
  <c r="D18" i="3"/>
  <c r="I18" i="3" l="1"/>
  <c r="I19" i="3" l="1"/>
  <c r="I2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1AFAAF90-7E7D-4419-AB48-327865180999}">
      <text>
        <r>
          <rPr>
            <sz val="10"/>
            <color indexed="81"/>
            <rFont val="Tahoma"/>
            <family val="2"/>
          </rPr>
          <t>Bid Submission Date</t>
        </r>
      </text>
    </comment>
    <comment ref="D12" authorId="0" shapeId="0" xr:uid="{50772544-289B-4C53-83CE-9D813F476C24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00000000-0006-0000-0100-000001000000}">
      <text>
        <r>
          <rPr>
            <sz val="10"/>
            <color indexed="81"/>
            <rFont val="Tahoma"/>
            <family val="2"/>
          </rPr>
          <t>Bid Submission Date</t>
        </r>
      </text>
    </comment>
    <comment ref="D12" authorId="0" shapeId="0" xr:uid="{00000000-0006-0000-0100-000002000000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sharedStrings.xml><?xml version="1.0" encoding="utf-8"?>
<sst xmlns="http://schemas.openxmlformats.org/spreadsheetml/2006/main" count="199" uniqueCount="87">
  <si>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</si>
  <si>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</si>
  <si>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</si>
  <si>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</si>
  <si>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</si>
  <si>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</si>
  <si>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</si>
  <si>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</si>
  <si>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</si>
  <si>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</si>
  <si>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</si>
  <si>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</si>
  <si>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</si>
  <si>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</si>
  <si>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</si>
  <si>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</si>
  <si>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</si>
  <si>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</si>
  <si>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</si>
  <si>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</si>
  <si>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</si>
  <si>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</si>
  <si>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</si>
  <si>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</si>
  <si>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</si>
  <si>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</si>
  <si>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</si>
  <si>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</si>
  <si>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</si>
  <si>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</si>
  <si>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</si>
  <si>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</si>
  <si>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</si>
  <si>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</si>
  <si>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</si>
  <si>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</si>
  <si>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</si>
  <si>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</si>
  <si>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</si>
  <si>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</si>
  <si>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</si>
  <si>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</si>
  <si>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</si>
  <si>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</si>
  <si>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</si>
  <si>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</si>
  <si>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</si>
  <si>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</si>
  <si>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</si>
  <si>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</si>
  <si>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</si>
  <si>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</si>
  <si>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</si>
  <si>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</si>
  <si>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</si>
  <si>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</si>
  <si>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</si>
  <si>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</si>
  <si>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</si>
  <si>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</si>
  <si>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</si>
  <si>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</si>
  <si>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</si>
  <si>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</si>
  <si>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</si>
  <si>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</si>
  <si>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</si>
  <si>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</si>
  <si>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update!</t>
    </r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</si>
  <si>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</si>
  <si>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</si>
  <si>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</si>
  <si>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2016-2-10</t>
  </si>
  <si>
    <t>2016-8-2</t>
  </si>
  <si>
    <t>2020-1-1</t>
  </si>
  <si>
    <t>2021-12-1</t>
  </si>
  <si>
    <t>2023-1-1</t>
  </si>
  <si>
    <t>2076-4-1</t>
  </si>
  <si>
    <t>2077-4-1</t>
  </si>
  <si>
    <t>2078-4-1</t>
  </si>
  <si>
    <t>2019-7-17</t>
  </si>
  <si>
    <t>2020-7-17</t>
  </si>
  <si>
    <t>2021-7-17</t>
  </si>
  <si>
    <t>13% VAT</t>
  </si>
  <si>
    <t>GRAND TOTAL</t>
  </si>
  <si>
    <t>2079-4-1</t>
  </si>
  <si>
    <t>2022-7-17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</si>
</sst>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68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4" fillId="0" borderId="0"/>
    <xf numFmtId="0" fontId="3" fillId="0" borderId="0"/>
    <xf numFmtId="0" fontId="6" fillId="0" borderId="0"/>
    <xf numFmtId="0" fontId="15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" fillId="0" borderId="0"/>
    <xf numFmtId="0" fontId="6" fillId="0" borderId="0"/>
    <xf numFmtId="0" fontId="3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5" fillId="0" borderId="0"/>
    <xf numFmtId="0" fontId="3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17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7" fillId="0" borderId="0" xfId="67"/>
    <xf numFmtId="0" fontId="22" fillId="0" borderId="1" xfId="0" applyFont="1" applyBorder="1" applyAlignment="1">
      <alignment horizontal="center"/>
    </xf>
    <xf numFmtId="49" fontId="22" fillId="0" borderId="1" xfId="0" applyNumberFormat="1" applyFont="1" applyBorder="1" applyAlignment="1">
      <alignment horizontal="right"/>
    </xf>
    <xf numFmtId="2" fontId="22" fillId="0" borderId="1" xfId="0" applyNumberFormat="1" applyFont="1" applyBorder="1"/>
    <xf numFmtId="2" fontId="22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0" fontId="0" fillId="0" borderId="1" xfId="0" applyNumberFormat="1" applyFont="1" applyBorder="1" applyAlignment="1">
      <alignment horizontal="center"/>
    </xf>
    <xf numFmtId="49" fontId="0" fillId="0" borderId="0" xfId="0" applyNumberFormat="1"/>
    <xf numFmtId="4" fontId="22" fillId="0" borderId="1" xfId="12" applyNumberFormat="1" applyFont="1" applyBorder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center" vertical="top"/>
    </xf>
    <xf numFmtId="0" fontId="7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/>
    </xf>
  </cellXfs>
  <cellStyles count="68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Hyperlink" xfId="67" builtinId="8"/>
    <cellStyle name="Normal" xfId="0" builtinId="0"/>
    <cellStyle name="Normal 10" xfId="15" xr:uid="{00000000-0005-0000-0000-000010000000}"/>
    <cellStyle name="Normal 10 3 2" xfId="25" xr:uid="{00000000-0005-0000-0000-000011000000}"/>
    <cellStyle name="Normal 10 5" xfId="19" xr:uid="{00000000-0005-0000-0000-000012000000}"/>
    <cellStyle name="Normal 11" xfId="5" xr:uid="{00000000-0005-0000-0000-000013000000}"/>
    <cellStyle name="Normal 2" xfId="6" xr:uid="{00000000-0005-0000-0000-000014000000}"/>
    <cellStyle name="Normal 2 10" xfId="16" xr:uid="{00000000-0005-0000-0000-000015000000}"/>
    <cellStyle name="Normal 2 14" xfId="62" xr:uid="{00000000-0005-0000-0000-000016000000}"/>
    <cellStyle name="Normal 2 19" xfId="35" xr:uid="{00000000-0005-0000-0000-000017000000}"/>
    <cellStyle name="Normal 2 2 2 4" xfId="24" xr:uid="{00000000-0005-0000-0000-000018000000}"/>
    <cellStyle name="Normal 2 3" xfId="30" xr:uid="{00000000-0005-0000-0000-000019000000}"/>
    <cellStyle name="Normal 2 4" xfId="7" xr:uid="{00000000-0005-0000-0000-00001A000000}"/>
    <cellStyle name="Normal 2 4 2" xfId="37" xr:uid="{00000000-0005-0000-0000-00001B000000}"/>
    <cellStyle name="Normal 2 5" xfId="66" xr:uid="{00000000-0005-0000-0000-00001C000000}"/>
    <cellStyle name="Normal 20" xfId="45" xr:uid="{00000000-0005-0000-0000-00001D000000}"/>
    <cellStyle name="Normal 21" xfId="46" xr:uid="{00000000-0005-0000-0000-00001E000000}"/>
    <cellStyle name="Normal 22" xfId="48" xr:uid="{00000000-0005-0000-0000-00001F000000}"/>
    <cellStyle name="Normal 23" xfId="50" xr:uid="{00000000-0005-0000-0000-000020000000}"/>
    <cellStyle name="Normal 24" xfId="51" xr:uid="{00000000-0005-0000-0000-000021000000}"/>
    <cellStyle name="Normal 25" xfId="53" xr:uid="{00000000-0005-0000-0000-000022000000}"/>
    <cellStyle name="Normal 26" xfId="52" xr:uid="{00000000-0005-0000-0000-000023000000}"/>
    <cellStyle name="Normal 28" xfId="59" xr:uid="{00000000-0005-0000-0000-000024000000}"/>
    <cellStyle name="Normal 29 3 2" xfId="44" xr:uid="{00000000-0005-0000-0000-000025000000}"/>
    <cellStyle name="Normal 3" xfId="1" xr:uid="{00000000-0005-0000-0000-000026000000}"/>
    <cellStyle name="Normal 3 16 2" xfId="36" xr:uid="{00000000-0005-0000-0000-000027000000}"/>
    <cellStyle name="Normal 3 2" xfId="13" xr:uid="{00000000-0005-0000-0000-000028000000}"/>
    <cellStyle name="Normal 3 2 3" xfId="14" xr:uid="{00000000-0005-0000-0000-000029000000}"/>
    <cellStyle name="Normal 3 6" xfId="20" xr:uid="{00000000-0005-0000-0000-00002A000000}"/>
    <cellStyle name="Normal 30" xfId="8" xr:uid="{00000000-0005-0000-0000-00002B000000}"/>
    <cellStyle name="Normal 31" xfId="55" xr:uid="{00000000-0005-0000-0000-00002C000000}"/>
    <cellStyle name="Normal 32 2" xfId="18" xr:uid="{00000000-0005-0000-0000-00002D000000}"/>
    <cellStyle name="Normal 33" xfId="9" xr:uid="{00000000-0005-0000-0000-00002E000000}"/>
    <cellStyle name="Normal 4" xfId="11" xr:uid="{00000000-0005-0000-0000-00002F000000}"/>
    <cellStyle name="Normal 4 10" xfId="28" xr:uid="{00000000-0005-0000-0000-000030000000}"/>
    <cellStyle name="Normal 4 28" xfId="33" xr:uid="{00000000-0005-0000-0000-000031000000}"/>
    <cellStyle name="Normal 5 16" xfId="34" xr:uid="{00000000-0005-0000-0000-000032000000}"/>
    <cellStyle name="Normal 54" xfId="58" xr:uid="{00000000-0005-0000-0000-000033000000}"/>
    <cellStyle name="Normal 54 4" xfId="23" xr:uid="{00000000-0005-0000-0000-000034000000}"/>
    <cellStyle name="Normal 55 2" xfId="29" xr:uid="{00000000-0005-0000-0000-000035000000}"/>
    <cellStyle name="Normal 57 2" xfId="26" xr:uid="{00000000-0005-0000-0000-000036000000}"/>
    <cellStyle name="Normal 59" xfId="22" xr:uid="{00000000-0005-0000-0000-000037000000}"/>
    <cellStyle name="Normal 6" xfId="39" xr:uid="{00000000-0005-0000-0000-000038000000}"/>
    <cellStyle name="Normal 6 2" xfId="54" xr:uid="{00000000-0005-0000-0000-000039000000}"/>
    <cellStyle name="Normal 68" xfId="21" xr:uid="{00000000-0005-0000-0000-00003A000000}"/>
    <cellStyle name="Normal 69" xfId="32" xr:uid="{00000000-0005-0000-0000-00003B000000}"/>
    <cellStyle name="Normal 69 2" xfId="63" xr:uid="{00000000-0005-0000-0000-00003C000000}"/>
    <cellStyle name="Normal 7 10" xfId="38" xr:uid="{00000000-0005-0000-0000-00003D000000}"/>
    <cellStyle name="Normal 70" xfId="41" xr:uid="{00000000-0005-0000-0000-00003E000000}"/>
    <cellStyle name="Normal 70 2" xfId="64" xr:uid="{00000000-0005-0000-0000-00003F000000}"/>
    <cellStyle name="Normal 71" xfId="40" xr:uid="{00000000-0005-0000-0000-000040000000}"/>
    <cellStyle name="Normal 71 2" xfId="61" xr:uid="{00000000-0005-0000-0000-000041000000}"/>
    <cellStyle name="Percent 2" xfId="10" xr:uid="{00000000-0005-0000-0000-000042000000}"/>
    <cellStyle name="Percent 3 4" xfId="42" xr:uid="{00000000-0005-0000-0000-000043000000}"/>
  </cellStyles>
  <dxfs count="60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8437B5-8D5F-41BC-8B90-E1C6CE9FB050}" name="Table243" displayName="Table243" ref="A14:I18" totalsRowCount="1" headerRowDxfId="57" dataDxfId="55" totalsRowDxfId="53" headerRowBorderDxfId="56" tableBorderDxfId="54" totalsRowBorderDxfId="52">
  <tableColumns count="9">
    <tableColumn id="1" xr3:uid="{CAAE9FBF-54C5-4F9B-83E1-D5BC5D8F249D}" name="IPC No." dataDxfId="51" totalsRowDxfId="50"/>
    <tableColumn id="2" xr3:uid="{FB3457DE-C525-48D8-8E24-59AC7A66BFB7}" name="IPC Submisstion_x000a_Date" dataDxfId="49" totalsRowDxfId="48"/>
    <tableColumn id="10" xr3:uid="{7D303DC6-0D49-4907-9260-C98CF9777D79}" name="IPC Amount" totalsRowFunction="sum" dataDxfId="47" totalsRowDxfId="46" dataCellStyle="Comma"/>
    <tableColumn id="11" xr3:uid="{6AA2E79D-2CC8-48DA-B990-D62B569B4208}" name="IPC Amount_x000a_for Price Adj." totalsRowFunction="sum" dataDxfId="45" totalsRowDxfId="44" dataCellStyle="Comma">
      <calculatedColumnFormula>Table243[[#This Row],[IPC Amount]]</calculatedColumnFormula>
    </tableColumn>
    <tableColumn id="3" xr3:uid="{94CCC4D4-CE80-4A79-9A33-932DA288632A}" name="l" dataDxfId="43" totalsRowDxfId="42">
      <calculatedColumnFormula>BSnrb(Table243[[#This Row],[IPC Submisstion
Date]],Table243[[#Headers],[l]])</calculatedColumnFormula>
    </tableColumn>
    <tableColumn id="4" xr3:uid="{C1C6B840-6A7A-4FD0-9D76-C32F5B9FF773}" name="m" dataDxfId="41" totalsRowDxfId="40">
      <calculatedColumnFormula>BSnrb(Table243[[#This Row],[IPC Submisstion
Date]],Table243[[#Headers],[m]])</calculatedColumnFormula>
    </tableColumn>
    <tableColumn id="5" xr3:uid="{3560420C-4A6F-447A-A0EB-A90B302BE095}" name="n" dataDxfId="39" totalsRowDxfId="38">
      <calculatedColumnFormula>BSnrb(Table243[[#This Row],[IPC Submisstion
Date]],Table243[[#Headers],[n]])</calculatedColumnFormula>
    </tableColumn>
    <tableColumn id="6" xr3:uid="{34E20157-4209-4E1B-B426-8328ED3A4033}" name="Price Adj._x000a_factor" totalsRowLabel="TOTAL" dataDxfId="37" totalsRowDxfId="36">
      <calculatedColumnFormula>a+
b*Table243[[#This Row],[l]]/lo+
c_*Table243[[#This Row],[m]]/mo+
d*Table243[[#This Row],[n]]/no</calculatedColumnFormula>
    </tableColumn>
    <tableColumn id="9" xr3:uid="{07D45FEF-8A96-4801-B79E-1B2D84F22EF5}" name="Net Price Adj._x000a_Amount" totalsRowFunction="sum" dataDxfId="35" totalsRowDxfId="34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" displayName="Table24" ref="A14:I18" totalsRowCount="1" headerRowDxfId="31" dataDxfId="29" totalsRowDxfId="27" headerRowBorderDxfId="30" tableBorderDxfId="28" totalsRowBorderDxfId="26">
  <tableColumns count="9">
    <tableColumn id="1" xr3:uid="{00000000-0010-0000-0100-000001000000}" name="IPC No." dataDxfId="25" totalsRowDxfId="24"/>
    <tableColumn id="2" xr3:uid="{00000000-0010-0000-0100-000002000000}" name="IPC Submisstion_x000a_Date" dataDxfId="23" totalsRowDxfId="22"/>
    <tableColumn id="10" xr3:uid="{00000000-0010-0000-0100-00000A000000}" name="IPC Amount" totalsRowFunction="sum" dataDxfId="21" totalsRowDxfId="20" dataCellStyle="Comma"/>
    <tableColumn id="11" xr3:uid="{00000000-0010-0000-0100-00000B000000}" name="IPC Amount_x000a_for Price Adj." totalsRowFunction="sum" dataDxfId="19" totalsRowDxfId="18" dataCellStyle="Comma">
      <calculatedColumnFormula>Table24[[#This Row],[IPC Amount]]</calculatedColumnFormula>
    </tableColumn>
    <tableColumn id="3" xr3:uid="{00000000-0010-0000-0100-000003000000}" name="l" dataDxfId="17" totalsRowDxfId="16">
      <calculatedColumnFormula>ADnrb(Table24[[#This Row],[IPC Submisstion
Date]],Table24[[#Headers],[l]])</calculatedColumnFormula>
    </tableColumn>
    <tableColumn id="4" xr3:uid="{00000000-0010-0000-0100-000004000000}" name="m" dataDxfId="15" totalsRowDxfId="14">
      <calculatedColumnFormula>ADnrb(Table24[[#This Row],[IPC Submisstion
Date]],Table24[[#Headers],[m]])</calculatedColumnFormula>
    </tableColumn>
    <tableColumn id="5" xr3:uid="{00000000-0010-0000-0100-000005000000}" name="n" dataDxfId="13" totalsRowDxfId="12">
      <calculatedColumnFormula>ADnrb(Table24[[#This Row],[IPC Submisstion
Date]],Table24[[#Headers],[n]])</calculatedColumnFormula>
    </tableColumn>
    <tableColumn id="6" xr3:uid="{00000000-0010-0000-0100-000006000000}" name="Price Adj._x000a_factor" totalsRowLabel="TOTAL" dataDxfId="11" totalsRowDxfId="10">
      <calculatedColumnFormula>a+
b*Table24[[#This Row],[l]]/lo+
c_*Table24[[#This Row],[m]]/mo+
d*Table24[[#This Row],[n]]/no</calculatedColumnFormula>
    </tableColumn>
    <tableColumn id="9" xr3:uid="{00000000-0010-0000-0100-000009000000}" name="Net Price Adj._x000a_Amount" totalsRowFunction="sum" dataDxfId="9" totalsRowDxfId="8" dataCellStyle="Comma">
      <calculatedColumnFormula>(Table24[[#This Row],[Price Adj.
factor]]-1) * Table24[[#This Row],[IPC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E120" totalsRowShown="0">
  <autoFilter ref="A1:E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SN" dataDxfId="3"/>
    <tableColumn id="2" xr3:uid="{00000000-0010-0000-0200-000002000000}" name="Date"/>
    <tableColumn id="3" xr3:uid="{00000000-0010-0000-0200-000003000000}" name="Labour" dataDxfId="2"/>
    <tableColumn id="4" xr3:uid="{00000000-0010-0000-0200-000004000000}" name="Material" dataDxfId="1"/>
    <tableColumn id="5" xr3:uid="{00000000-0010-0000-0200-000005000000}" name="Equipmen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9660A-8928-4457-AD63-7B40BBB2FBBC}">
  <sheetPr codeName="Sheet4">
    <tabColor rgb="FFFF0000"/>
    <pageSetUpPr fitToPage="1"/>
  </sheetPr>
  <dimension ref="A1:AJ97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37" max="16384" width="9.140625" style="5"/>
  </cols>
  <sheetData>
    <row r="1" spans="1:9" ht="28.5">
      <c r="A1" s="47" t="s">
        <v>55</v>
      </c>
      <c r="B1" s="47"/>
      <c r="C1" s="47"/>
      <c r="D1" s="47"/>
      <c r="E1" s="47"/>
      <c r="F1" s="47"/>
      <c r="G1" s="47"/>
      <c r="H1" s="47"/>
      <c r="I1" s="47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 ht="30.75" customHeight="1">
      <c r="A3" s="26" t="s">
        <v>43</v>
      </c>
      <c r="B3" s="48"/>
      <c r="C3" s="48"/>
      <c r="D3" s="48"/>
      <c r="E3" s="48"/>
      <c r="F3" s="48"/>
      <c r="G3" s="48"/>
      <c r="H3" s="48"/>
      <c r="I3" s="48"/>
    </row>
    <row r="4" spans="1:9">
      <c r="A4" s="8" t="s">
        <v>44</v>
      </c>
      <c r="B4" s="49"/>
      <c r="C4" s="49"/>
      <c r="D4" s="49"/>
      <c r="E4" s="49"/>
      <c r="F4" s="49"/>
      <c r="G4" s="49"/>
      <c r="H4" s="49"/>
      <c r="I4" s="49"/>
    </row>
    <row r="5" spans="1:9">
      <c r="A5" s="8"/>
      <c r="B5" s="8"/>
    </row>
    <row r="6" spans="1:9">
      <c r="A6" s="50" t="s">
        <v>59</v>
      </c>
      <c r="B6" s="51" t="s">
        <v>71</v>
      </c>
      <c r="C6" s="51"/>
      <c r="D6" s="51"/>
    </row>
    <row r="7" spans="1:9" ht="18">
      <c r="A7" s="50"/>
      <c r="B7" s="20" t="s">
        <v>45</v>
      </c>
      <c r="C7" s="20" t="s">
        <v>49</v>
      </c>
      <c r="D7" s="20" t="s">
        <v>50</v>
      </c>
      <c r="E7" s="1"/>
      <c r="H7" s="36"/>
    </row>
    <row r="8" spans="1:9">
      <c r="A8" s="18" t="s">
        <v>77</v>
      </c>
      <c r="B8" s="37">
        <f>BSnrb($A$8,"l")</f>
        <v>476.6</v>
      </c>
      <c r="C8" s="9">
        <f>BSnrb($A$8,"m")</f>
        <v>108.67067</v>
      </c>
      <c r="D8" s="9">
        <f>BSnrb($A$8,"n")</f>
        <v>104.49441</v>
      </c>
      <c r="E8" s="10"/>
      <c r="H8" s="36"/>
    </row>
    <row r="10" spans="1:9">
      <c r="A10" s="51" t="s">
        <v>52</v>
      </c>
      <c r="B10" s="51"/>
      <c r="C10" s="51"/>
      <c r="D10" s="51"/>
      <c r="E10" s="51"/>
      <c r="H10" s="14"/>
    </row>
    <row r="11" spans="1:9" ht="30.75" customHeight="1">
      <c r="A11" s="35" t="s">
        <v>64</v>
      </c>
      <c r="B11" s="35" t="s">
        <v>65</v>
      </c>
      <c r="C11" s="35" t="s">
        <v>66</v>
      </c>
      <c r="D11" s="35" t="s">
        <v>67</v>
      </c>
      <c r="E11" s="11" t="s">
        <v>53</v>
      </c>
    </row>
    <row r="12" spans="1:9">
      <c r="A12" s="9">
        <v>0.15</v>
      </c>
      <c r="B12" s="9"/>
      <c r="C12" s="9"/>
      <c r="D12" s="9"/>
      <c r="E12" s="9">
        <f>SUM(A12:D12)</f>
        <v>0.15</v>
      </c>
    </row>
    <row r="13" spans="1:9" ht="49.5" customHeight="1">
      <c r="E13" s="42" t="s">
        <v>63</v>
      </c>
      <c r="F13" s="43"/>
      <c r="G13" s="43"/>
    </row>
    <row r="14" spans="1:9" ht="45">
      <c r="A14" s="2" t="s">
        <v>62</v>
      </c>
      <c r="B14" s="4" t="s">
        <v>61</v>
      </c>
      <c r="C14" s="3" t="s">
        <v>69</v>
      </c>
      <c r="D14" s="4" t="s">
        <v>70</v>
      </c>
      <c r="E14" s="3" t="s">
        <v>46</v>
      </c>
      <c r="F14" s="3" t="s">
        <v>47</v>
      </c>
      <c r="G14" s="3" t="s">
        <v>48</v>
      </c>
      <c r="H14" s="4" t="s">
        <v>51</v>
      </c>
      <c r="I14" s="35" t="s">
        <v>56</v>
      </c>
    </row>
    <row r="15" spans="1:9">
      <c r="A15" s="34">
        <v>1</v>
      </c>
      <c r="B15" s="17" t="s">
        <v>78</v>
      </c>
      <c r="C15" s="12"/>
      <c r="D15" s="6">
        <f>Table243[[#This Row],[IPC Amount]]</f>
        <v>0</v>
      </c>
      <c r="E15" s="13">
        <f>BSnrb(Table243[[#This Row],[IPC Submisstion
Date]],Table243[[#Headers],[l]])</f>
        <v>495.96865492666547</v>
      </c>
      <c r="F15" s="13">
        <f>BSnrb(Table243[[#This Row],[IPC Submisstion
Date]],Table243[[#Headers],[m]])</f>
        <v>102.49836999999999</v>
      </c>
      <c r="G15" s="13">
        <f>BSnrb(Table243[[#This Row],[IPC Submisstion
Date]],Table243[[#Headers],[n]])</f>
        <v>107.739975</v>
      </c>
      <c r="H15" s="9">
        <f>a+
b*Table243[[#This Row],[l]]/lo+
c_*Table243[[#This Row],[m]]/mo+
d*Table243[[#This Row],[n]]/no</f>
        <v>0.15</v>
      </c>
      <c r="I15" s="6">
        <f>(Table243[[#This Row],[Price Adj.
factor]]-1) * Table243[[#This Row],[IPC Amount
for Price Adj.]]</f>
        <v>0</v>
      </c>
    </row>
    <row r="16" spans="1:9">
      <c r="A16" s="34">
        <v>2</v>
      </c>
      <c r="B16" s="17" t="s">
        <v>79</v>
      </c>
      <c r="C16" s="12"/>
      <c r="D16" s="6">
        <f>Table243[[#This Row],[IPC Amount]]</f>
        <v>0</v>
      </c>
      <c r="E16" s="13">
        <f>BSnrb(Table243[[#This Row],[IPC Submisstion
Date]],Table243[[#Headers],[l]])</f>
        <v>521.96528063896278</v>
      </c>
      <c r="F16" s="13">
        <f>BSnrb(Table243[[#This Row],[IPC Submisstion
Date]],Table243[[#Headers],[m]])</f>
        <v>114.13984000000001</v>
      </c>
      <c r="G16" s="13">
        <f>BSnrb(Table243[[#This Row],[IPC Submisstion
Date]],Table243[[#Headers],[n]])</f>
        <v>113.68747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Bot="1">
      <c r="A17" s="30">
        <v>3</v>
      </c>
      <c r="B17" s="31" t="s">
        <v>85</v>
      </c>
      <c r="C17" s="39"/>
      <c r="D17" s="6">
        <f>Table243[[#This Row],[IPC Amount]]</f>
        <v>0</v>
      </c>
      <c r="E17" s="32">
        <f>BSnrb(Table243[[#This Row],[IPC Submisstion
Date]],Table243[[#Headers],[l]])</f>
        <v>533.10235907247784</v>
      </c>
      <c r="F17" s="32">
        <f>BSnrb(Table243[[#This Row],[IPC Submisstion
Date]],Table243[[#Headers],[m]])</f>
        <v>134.43776</v>
      </c>
      <c r="G17" s="32">
        <f>BSnrb(Table243[[#This Row],[IPC Submisstion
Date]],Table243[[#Headers],[n]])</f>
        <v>122.931854</v>
      </c>
      <c r="H17" s="33">
        <f>a+
b*Table243[[#This Row],[l]]/lo+
c_*Table243[[#This Row],[m]]/mo+
d*Table243[[#This Row],[n]]/no</f>
        <v>0.15</v>
      </c>
      <c r="I17" s="6">
        <f>(Table243[[#This Row],[Price Adj.
factor]]-1) * Table243[[#This Row],[IPC Amount
for Price Adj.]]</f>
        <v>0</v>
      </c>
    </row>
    <row r="18" spans="1:9" ht="15.75" thickTop="1">
      <c r="A18" s="22"/>
      <c r="B18" s="22"/>
      <c r="C18" s="22">
        <f>SUBTOTAL(109,Table243[IPC Amount])</f>
        <v>0</v>
      </c>
      <c r="D18" s="22">
        <f>SUBTOTAL(109,Table243[IPC Amount
for Price Adj.])</f>
        <v>0</v>
      </c>
      <c r="E18" s="22"/>
      <c r="F18" s="22"/>
      <c r="G18" s="22"/>
      <c r="H18" s="41" t="s">
        <v>53</v>
      </c>
      <c r="I18" s="23">
        <f>SUBTOTAL(109,Table243[Net Price Adj.
Amount])</f>
        <v>0</v>
      </c>
    </row>
    <row r="19" spans="1:9">
      <c r="A19" s="27"/>
      <c r="B19" s="27"/>
      <c r="C19" s="27"/>
      <c r="D19" s="27"/>
      <c r="E19" s="27"/>
      <c r="F19" s="27"/>
      <c r="G19" s="27"/>
      <c r="H19" s="40" t="s">
        <v>83</v>
      </c>
      <c r="I19" s="27">
        <f>Table243[[#Totals],[Net Price Adj.
Amount]]</f>
        <v>0</v>
      </c>
    </row>
    <row r="20" spans="1:9">
      <c r="A20" s="27"/>
      <c r="B20" s="27"/>
      <c r="C20" s="27"/>
      <c r="D20" s="27"/>
      <c r="E20" s="27"/>
      <c r="F20" s="27"/>
      <c r="G20" s="27"/>
      <c r="H20" s="40" t="s">
        <v>84</v>
      </c>
      <c r="I20" s="27">
        <f>Table243[[#Totals],[Net Price Adj.
Amount]]+VAT</f>
        <v>0</v>
      </c>
    </row>
    <row r="21" spans="1:9">
      <c r="A21" s="27"/>
      <c r="B21" s="27"/>
      <c r="C21" s="27"/>
      <c r="D21" s="27"/>
      <c r="E21" s="27"/>
      <c r="F21" s="27"/>
      <c r="G21" s="27"/>
      <c r="H21" s="28"/>
      <c r="I21" s="27"/>
    </row>
    <row r="22" spans="1:9">
      <c r="A22" s="27"/>
      <c r="B22" s="27"/>
      <c r="C22" s="27"/>
      <c r="D22" s="27"/>
      <c r="E22" s="27"/>
      <c r="F22" s="27"/>
      <c r="G22" s="27"/>
      <c r="H22" s="28"/>
      <c r="I22" s="27"/>
    </row>
    <row r="23" spans="1:9">
      <c r="A23" s="44" t="s">
        <v>54</v>
      </c>
      <c r="B23" s="44"/>
      <c r="C23" s="44"/>
      <c r="D23" s="44"/>
      <c r="E23" s="44"/>
      <c r="F23" s="44"/>
      <c r="G23" s="44"/>
      <c r="H23" s="44"/>
      <c r="I23" s="44"/>
    </row>
    <row r="24" spans="1:9">
      <c r="A24" s="45" t="s">
        <v>57</v>
      </c>
      <c r="B24" s="45"/>
      <c r="C24" s="45"/>
      <c r="D24" s="45"/>
      <c r="E24" s="45"/>
      <c r="F24" s="45"/>
      <c r="G24" s="45"/>
      <c r="H24" s="45"/>
      <c r="I24" s="45"/>
    </row>
    <row r="25" spans="1:9">
      <c r="A25" s="45" t="s">
        <v>58</v>
      </c>
      <c r="B25" s="45"/>
      <c r="C25" s="45"/>
      <c r="D25" s="45"/>
      <c r="E25" s="45"/>
      <c r="F25" s="45"/>
      <c r="G25" s="45"/>
      <c r="H25" s="45"/>
      <c r="I25" s="45"/>
    </row>
    <row r="28" spans="1:9" ht="28.5">
      <c r="A28" s="46" t="s">
        <v>68</v>
      </c>
      <c r="B28" s="46"/>
      <c r="C28" s="46"/>
      <c r="D28" s="46"/>
      <c r="E28" s="46"/>
      <c r="F28" s="46"/>
      <c r="G28" s="46"/>
      <c r="H28" s="46"/>
      <c r="I28" s="46"/>
    </row>
    <row r="29" spans="1:9">
      <c r="A29" s="29"/>
    </row>
    <row r="94" spans="1:2">
      <c r="A94" s="14"/>
    </row>
    <row r="96" spans="1:2">
      <c r="B96" s="14"/>
    </row>
    <row r="97" spans="2:2">
      <c r="B97" s="14"/>
    </row>
  </sheetData>
  <mergeCells count="11">
    <mergeCell ref="A10:E10"/>
    <mergeCell ref="A1:I1"/>
    <mergeCell ref="B3:I3"/>
    <mergeCell ref="B4:I4"/>
    <mergeCell ref="A6:A7"/>
    <mergeCell ref="B6:D6"/>
    <mergeCell ref="E13:G13"/>
    <mergeCell ref="A23:I23"/>
    <mergeCell ref="A24:I24"/>
    <mergeCell ref="A25:I25"/>
    <mergeCell ref="A28:I28"/>
  </mergeCells>
  <conditionalFormatting sqref="I15:I17">
    <cfRule type="cellIs" dxfId="59" priority="2" operator="lessThan">
      <formula>0</formula>
    </cfRule>
  </conditionalFormatting>
  <conditionalFormatting sqref="I18:I22">
    <cfRule type="cellIs" dxfId="58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7" fitToHeight="0" orientation="landscape" horizontalDpi="1200" verticalDpi="12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F0"/>
    <pageSetUpPr fitToPage="1"/>
  </sheetPr>
  <dimension ref="A1:AJ97"/>
  <sheetViews>
    <sheetView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37" max="16384" width="9.140625" style="5"/>
  </cols>
  <sheetData>
    <row r="1" spans="1:9" ht="28.5">
      <c r="A1" s="47" t="s">
        <v>55</v>
      </c>
      <c r="B1" s="47"/>
      <c r="C1" s="47"/>
      <c r="D1" s="47"/>
      <c r="E1" s="47"/>
      <c r="F1" s="47"/>
      <c r="G1" s="47"/>
      <c r="H1" s="47"/>
      <c r="I1" s="47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 ht="30.75" customHeight="1">
      <c r="A3" s="26" t="s">
        <v>43</v>
      </c>
      <c r="B3" s="48"/>
      <c r="C3" s="48"/>
      <c r="D3" s="48"/>
      <c r="E3" s="48"/>
      <c r="F3" s="48"/>
      <c r="G3" s="48"/>
      <c r="H3" s="48"/>
      <c r="I3" s="48"/>
    </row>
    <row r="4" spans="1:9">
      <c r="A4" s="8" t="s">
        <v>44</v>
      </c>
      <c r="B4" s="49"/>
      <c r="C4" s="49"/>
      <c r="D4" s="49"/>
      <c r="E4" s="49"/>
      <c r="F4" s="49"/>
      <c r="G4" s="49"/>
      <c r="H4" s="49"/>
      <c r="I4" s="49"/>
    </row>
    <row r="5" spans="1:9">
      <c r="A5" s="8"/>
      <c r="B5" s="8"/>
    </row>
    <row r="6" spans="1:9">
      <c r="A6" s="50" t="s">
        <v>59</v>
      </c>
      <c r="B6" s="51" t="s">
        <v>71</v>
      </c>
      <c r="C6" s="51"/>
      <c r="D6" s="51"/>
    </row>
    <row r="7" spans="1:9" ht="18">
      <c r="A7" s="50"/>
      <c r="B7" s="20" t="s">
        <v>45</v>
      </c>
      <c r="C7" s="20" t="s">
        <v>49</v>
      </c>
      <c r="D7" s="20" t="s">
        <v>50</v>
      </c>
      <c r="E7" s="1"/>
      <c r="H7" s="36"/>
    </row>
    <row r="8" spans="1:9">
      <c r="A8" s="18" t="s">
        <v>80</v>
      </c>
      <c r="B8" s="37">
        <f>ADnrb($A$8,"l")</f>
        <v>476.6</v>
      </c>
      <c r="C8" s="9">
        <f>ADnrb($A$8,"m")</f>
        <v>108.67067</v>
      </c>
      <c r="D8" s="9">
        <f>ADnrb($A$8,"n")</f>
        <v>104.49441</v>
      </c>
      <c r="E8" s="10"/>
      <c r="H8" s="36"/>
    </row>
    <row r="10" spans="1:9">
      <c r="A10" s="51" t="s">
        <v>52</v>
      </c>
      <c r="B10" s="51"/>
      <c r="C10" s="51"/>
      <c r="D10" s="51"/>
      <c r="E10" s="51"/>
      <c r="H10" s="14"/>
    </row>
    <row r="11" spans="1:9" ht="30.75" customHeight="1">
      <c r="A11" s="25" t="s">
        <v>64</v>
      </c>
      <c r="B11" s="25" t="s">
        <v>65</v>
      </c>
      <c r="C11" s="25" t="s">
        <v>66</v>
      </c>
      <c r="D11" s="25" t="s">
        <v>67</v>
      </c>
      <c r="E11" s="11" t="s">
        <v>53</v>
      </c>
    </row>
    <row r="12" spans="1:9">
      <c r="A12" s="9">
        <v>0.15</v>
      </c>
      <c r="B12" s="9"/>
      <c r="C12" s="9"/>
      <c r="D12" s="9"/>
      <c r="E12" s="9">
        <f>SUM(A12:D12)</f>
        <v>0.15</v>
      </c>
    </row>
    <row r="13" spans="1:9" ht="49.5" customHeight="1">
      <c r="E13" s="42" t="s">
        <v>63</v>
      </c>
      <c r="F13" s="43"/>
      <c r="G13" s="43"/>
    </row>
    <row r="14" spans="1:9" ht="45">
      <c r="A14" s="2" t="s">
        <v>62</v>
      </c>
      <c r="B14" s="4" t="s">
        <v>61</v>
      </c>
      <c r="C14" s="3" t="s">
        <v>69</v>
      </c>
      <c r="D14" s="4" t="s">
        <v>70</v>
      </c>
      <c r="E14" s="3" t="s">
        <v>46</v>
      </c>
      <c r="F14" s="3" t="s">
        <v>47</v>
      </c>
      <c r="G14" s="3" t="s">
        <v>48</v>
      </c>
      <c r="H14" s="4" t="s">
        <v>51</v>
      </c>
      <c r="I14" s="19" t="s">
        <v>56</v>
      </c>
    </row>
    <row r="15" spans="1:9">
      <c r="A15" s="21">
        <v>1</v>
      </c>
      <c r="B15" s="17" t="s">
        <v>81</v>
      </c>
      <c r="C15" s="12"/>
      <c r="D15" s="6">
        <f>Table24[[#This Row],[IPC Amount]]</f>
        <v>0</v>
      </c>
      <c r="E15" s="13">
        <f>ADnrb(Table24[[#This Row],[IPC Submisstion
Date]],Table24[[#Headers],[l]])</f>
        <v>495.96865492666547</v>
      </c>
      <c r="F15" s="13">
        <f>ADnrb(Table24[[#This Row],[IPC Submisstion
Date]],Table24[[#Headers],[m]])</f>
        <v>102.49836999999999</v>
      </c>
      <c r="G15" s="13">
        <f>ADnrb(Table24[[#This Row],[IPC Submisstion
Date]],Table24[[#Headers],[n]])</f>
        <v>107.739975</v>
      </c>
      <c r="H15" s="9">
        <f>a+
b*Table24[[#This Row],[l]]/lo+
c_*Table24[[#This Row],[m]]/mo+
d*Table24[[#This Row],[n]]/no</f>
        <v>0.15</v>
      </c>
      <c r="I15" s="6">
        <f>(Table24[[#This Row],[Price Adj.
factor]]-1) * Table24[[#This Row],[IPC Amount
for Price Adj.]]</f>
        <v>0</v>
      </c>
    </row>
    <row r="16" spans="1:9">
      <c r="A16" s="24">
        <v>2</v>
      </c>
      <c r="B16" s="17" t="s">
        <v>82</v>
      </c>
      <c r="C16" s="12"/>
      <c r="D16" s="6">
        <f>Table24[[#This Row],[IPC Amount]]</f>
        <v>0</v>
      </c>
      <c r="E16" s="13">
        <f>ADnrb(Table24[[#This Row],[IPC Submisstion
Date]],Table24[[#Headers],[l]])</f>
        <v>521.96528063896278</v>
      </c>
      <c r="F16" s="13">
        <f>ADnrb(Table24[[#This Row],[IPC Submisstion
Date]],Table24[[#Headers],[m]])</f>
        <v>114.13984000000001</v>
      </c>
      <c r="G16" s="13">
        <f>ADnrb(Table24[[#This Row],[IPC Submisstion
Date]],Table24[[#Headers],[n]])</f>
        <v>113.68747</v>
      </c>
      <c r="H16" s="9">
        <f>a+
b*Table24[[#This Row],[l]]/lo+
c_*Table24[[#This Row],[m]]/mo+
d*Table24[[#This Row],[n]]/no</f>
        <v>0.15</v>
      </c>
      <c r="I16" s="6">
        <f>(Table24[[#This Row],[Price Adj.
factor]]-1) * Table24[[#This Row],[IPC Amount
for Price Adj.]]</f>
        <v>0</v>
      </c>
    </row>
    <row r="17" spans="1:9" ht="15.75" thickBot="1">
      <c r="A17" s="30">
        <v>3</v>
      </c>
      <c r="B17" s="31" t="s">
        <v>86</v>
      </c>
      <c r="C17" s="39"/>
      <c r="D17" s="6">
        <f>Table24[[#This Row],[IPC Amount]]</f>
        <v>0</v>
      </c>
      <c r="E17" s="32">
        <f>ADnrb(Table24[[#This Row],[IPC Submisstion
Date]],Table24[[#Headers],[l]])</f>
        <v>533.10235907247784</v>
      </c>
      <c r="F17" s="32">
        <f>ADnrb(Table24[[#This Row],[IPC Submisstion
Date]],Table24[[#Headers],[m]])</f>
        <v>134.43776</v>
      </c>
      <c r="G17" s="32">
        <f>ADnrb(Table24[[#This Row],[IPC Submisstion
Date]],Table24[[#Headers],[n]])</f>
        <v>122.931854</v>
      </c>
      <c r="H17" s="33">
        <f>a+
b*Table24[[#This Row],[l]]/lo+
c_*Table24[[#This Row],[m]]/mo+
d*Table24[[#This Row],[n]]/no</f>
        <v>0.15</v>
      </c>
      <c r="I17" s="6">
        <f>(Table24[[#This Row],[Price Adj.
factor]]-1) * Table24[[#This Row],[IPC Amount
for Price Adj.]]</f>
        <v>0</v>
      </c>
    </row>
    <row r="18" spans="1:9" ht="15.75" thickTop="1">
      <c r="A18" s="22"/>
      <c r="B18" s="22"/>
      <c r="C18" s="22">
        <f>SUBTOTAL(109,Table24[IPC Amount])</f>
        <v>0</v>
      </c>
      <c r="D18" s="22">
        <f>SUBTOTAL(109,Table24[IPC Amount
for Price Adj.])</f>
        <v>0</v>
      </c>
      <c r="E18" s="22"/>
      <c r="F18" s="22"/>
      <c r="G18" s="22"/>
      <c r="H18" s="41" t="s">
        <v>53</v>
      </c>
      <c r="I18" s="23">
        <f>SUBTOTAL(109,Table24[Net Price Adj.
Amount])</f>
        <v>0</v>
      </c>
    </row>
    <row r="19" spans="1:9">
      <c r="A19" s="27"/>
      <c r="B19" s="27"/>
      <c r="C19" s="27"/>
      <c r="D19" s="27"/>
      <c r="E19" s="27"/>
      <c r="F19" s="27"/>
      <c r="G19" s="27"/>
      <c r="H19" s="40" t="s">
        <v>83</v>
      </c>
      <c r="I19" s="27">
        <f>Table24[[#Totals],[Net Price Adj.
Amount]]</f>
        <v>0</v>
      </c>
    </row>
    <row r="20" spans="1:9">
      <c r="A20" s="27"/>
      <c r="B20" s="27"/>
      <c r="C20" s="27"/>
      <c r="D20" s="27"/>
      <c r="E20" s="27"/>
      <c r="F20" s="27"/>
      <c r="G20" s="27"/>
      <c r="H20" s="40" t="s">
        <v>84</v>
      </c>
      <c r="I20" s="27">
        <f>Table24[[#Totals],[Net Price Adj.
Amount]]+VAT</f>
        <v>0</v>
      </c>
    </row>
    <row r="21" spans="1:9">
      <c r="A21" s="27"/>
      <c r="B21" s="27"/>
      <c r="C21" s="27"/>
      <c r="D21" s="27"/>
      <c r="E21" s="27"/>
      <c r="F21" s="27"/>
      <c r="G21" s="27"/>
      <c r="H21" s="28"/>
      <c r="I21" s="27"/>
    </row>
    <row r="22" spans="1:9">
      <c r="A22" s="27"/>
      <c r="B22" s="27"/>
      <c r="C22" s="27"/>
      <c r="D22" s="27"/>
      <c r="E22" s="27"/>
      <c r="F22" s="27"/>
      <c r="G22" s="27"/>
      <c r="H22" s="28"/>
      <c r="I22" s="27"/>
    </row>
    <row r="23" spans="1:9">
      <c r="A23" s="44" t="s">
        <v>54</v>
      </c>
      <c r="B23" s="44"/>
      <c r="C23" s="44"/>
      <c r="D23" s="44"/>
      <c r="E23" s="44"/>
      <c r="F23" s="44"/>
      <c r="G23" s="44"/>
      <c r="H23" s="44"/>
      <c r="I23" s="44"/>
    </row>
    <row r="24" spans="1:9">
      <c r="A24" s="45" t="s">
        <v>57</v>
      </c>
      <c r="B24" s="45"/>
      <c r="C24" s="45"/>
      <c r="D24" s="45"/>
      <c r="E24" s="45"/>
      <c r="F24" s="45"/>
      <c r="G24" s="45"/>
      <c r="H24" s="45"/>
      <c r="I24" s="45"/>
    </row>
    <row r="25" spans="1:9">
      <c r="A25" s="45" t="s">
        <v>58</v>
      </c>
      <c r="B25" s="45"/>
      <c r="C25" s="45"/>
      <c r="D25" s="45"/>
      <c r="E25" s="45"/>
      <c r="F25" s="45"/>
      <c r="G25" s="45"/>
      <c r="H25" s="45"/>
      <c r="I25" s="45"/>
    </row>
    <row r="28" spans="1:9" ht="28.5">
      <c r="A28" s="46" t="s">
        <v>68</v>
      </c>
      <c r="B28" s="46"/>
      <c r="C28" s="46"/>
      <c r="D28" s="46"/>
      <c r="E28" s="46"/>
      <c r="F28" s="46"/>
      <c r="G28" s="46"/>
      <c r="H28" s="46"/>
      <c r="I28" s="46"/>
    </row>
    <row r="29" spans="1:9">
      <c r="A29" s="29"/>
    </row>
    <row r="94" spans="1:2">
      <c r="A94" s="14"/>
    </row>
    <row r="96" spans="1:2">
      <c r="B96" s="14"/>
    </row>
    <row r="97" spans="2:2">
      <c r="B97" s="14"/>
    </row>
  </sheetData>
  <mergeCells count="11">
    <mergeCell ref="A1:I1"/>
    <mergeCell ref="A6:A7"/>
    <mergeCell ref="B6:D6"/>
    <mergeCell ref="E13:G13"/>
    <mergeCell ref="B3:I3"/>
    <mergeCell ref="B4:I4"/>
    <mergeCell ref="A28:I28"/>
    <mergeCell ref="A10:E10"/>
    <mergeCell ref="A23:I23"/>
    <mergeCell ref="A24:I24"/>
    <mergeCell ref="A25:I25"/>
  </mergeCells>
  <phoneticPr fontId="9" type="noConversion"/>
  <conditionalFormatting sqref="I15:I17">
    <cfRule type="cellIs" dxfId="33" priority="4" operator="lessThan">
      <formula>0</formula>
    </cfRule>
  </conditionalFormatting>
  <conditionalFormatting sqref="I18:I22">
    <cfRule type="cellIs" dxfId="32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7" fitToHeight="0" orientation="landscape" horizontalDpi="1200" verticalDpi="12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H120"/>
  <sheetViews>
    <sheetView topLeftCell="A100" zoomScaleNormal="100" workbookViewId="0">
      <selection activeCell="A116" sqref="A116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5" width="12.85546875" customWidth="1"/>
    <col min="7" max="7" width="10" bestFit="1" customWidth="1"/>
    <col min="8" max="8" width="10.42578125" style="38" bestFit="1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 s="16">
        <v>1999</v>
      </c>
      <c r="B2" t="s">
        <v>5</v>
      </c>
      <c r="C2" s="15"/>
      <c r="D2" s="15">
        <v>30.8</v>
      </c>
      <c r="E2" s="15">
        <v>39.1</v>
      </c>
    </row>
    <row r="3" spans="1:5">
      <c r="A3" s="16">
        <v>2000</v>
      </c>
      <c r="B3" t="s">
        <v>31</v>
      </c>
      <c r="C3" s="15"/>
      <c r="D3" s="15">
        <v>31.9</v>
      </c>
      <c r="E3" s="15">
        <v>40</v>
      </c>
    </row>
    <row r="4" spans="1:5">
      <c r="A4" s="16">
        <v>2001</v>
      </c>
      <c r="B4" t="s">
        <v>32</v>
      </c>
      <c r="C4" s="15"/>
      <c r="D4" s="15">
        <v>33.5</v>
      </c>
      <c r="E4" s="15">
        <v>39.799999999999997</v>
      </c>
    </row>
    <row r="5" spans="1:5">
      <c r="A5" s="16">
        <v>2002</v>
      </c>
      <c r="B5" t="s">
        <v>33</v>
      </c>
      <c r="C5" s="15"/>
      <c r="D5" s="15">
        <v>33.700000000000003</v>
      </c>
      <c r="E5" s="15">
        <v>39.799999999999997</v>
      </c>
    </row>
    <row r="6" spans="1:5">
      <c r="A6" s="16">
        <v>2003</v>
      </c>
      <c r="B6" t="s">
        <v>34</v>
      </c>
      <c r="C6" s="15"/>
      <c r="D6" s="15">
        <v>38.9</v>
      </c>
      <c r="E6" s="15">
        <v>42</v>
      </c>
    </row>
    <row r="7" spans="1:5">
      <c r="A7" s="16">
        <v>2004</v>
      </c>
      <c r="B7" t="s">
        <v>35</v>
      </c>
      <c r="C7" s="15">
        <v>100</v>
      </c>
      <c r="D7" s="15">
        <v>44.9</v>
      </c>
      <c r="E7" s="15">
        <v>46.2</v>
      </c>
    </row>
    <row r="8" spans="1:5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</row>
    <row r="9" spans="1:5">
      <c r="A9" s="16">
        <v>2006</v>
      </c>
      <c r="B9" t="s">
        <v>37</v>
      </c>
      <c r="C9" s="15">
        <v>109.1</v>
      </c>
      <c r="D9" s="15">
        <v>53</v>
      </c>
      <c r="E9" s="15">
        <v>50.8</v>
      </c>
    </row>
    <row r="10" spans="1:5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</row>
    <row r="11" spans="1:5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</row>
    <row r="12" spans="1:5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</row>
    <row r="13" spans="1:5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</row>
    <row r="14" spans="1:5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</row>
    <row r="15" spans="1:5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</row>
    <row r="16" spans="1:5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</row>
    <row r="17" spans="1:8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</row>
    <row r="18" spans="1:8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</row>
    <row r="19" spans="1:8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</row>
    <row r="20" spans="1:8">
      <c r="A20" s="15"/>
      <c r="B20" t="s">
        <v>11</v>
      </c>
      <c r="C20" s="15">
        <v>403.3</v>
      </c>
      <c r="D20" s="15">
        <v>88.4</v>
      </c>
      <c r="E20" s="15">
        <v>90.5</v>
      </c>
      <c r="H20" s="38" t="s">
        <v>72</v>
      </c>
    </row>
    <row r="21" spans="1:8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H21" s="38" t="s">
        <v>73</v>
      </c>
    </row>
    <row r="22" spans="1:8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H22" s="38" t="s">
        <v>74</v>
      </c>
    </row>
    <row r="23" spans="1:8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H23" s="38" t="s">
        <v>75</v>
      </c>
    </row>
    <row r="24" spans="1:8">
      <c r="A24" s="15"/>
      <c r="B24" t="s">
        <v>15</v>
      </c>
      <c r="C24" s="15">
        <v>403.8</v>
      </c>
      <c r="D24" s="15">
        <v>89.5</v>
      </c>
      <c r="E24" s="15">
        <v>96.4</v>
      </c>
      <c r="H24" s="38" t="s">
        <v>76</v>
      </c>
    </row>
    <row r="25" spans="1:8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</row>
    <row r="26" spans="1:8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</row>
    <row r="27" spans="1:8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</row>
    <row r="28" spans="1:8">
      <c r="A28" s="15"/>
      <c r="B28" t="s">
        <v>19</v>
      </c>
      <c r="C28" s="15">
        <v>405.1</v>
      </c>
      <c r="D28" s="15">
        <v>90.1</v>
      </c>
      <c r="E28" s="15">
        <v>100.1</v>
      </c>
    </row>
    <row r="29" spans="1:8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</row>
    <row r="30" spans="1:8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</row>
    <row r="31" spans="1:8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</row>
    <row r="32" spans="1:8">
      <c r="A32" s="15"/>
      <c r="B32" t="s">
        <v>23</v>
      </c>
      <c r="C32" s="15">
        <v>410.6</v>
      </c>
      <c r="D32" s="15">
        <v>93.4</v>
      </c>
      <c r="E32" s="15">
        <v>100.9</v>
      </c>
    </row>
    <row r="33" spans="1:5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</row>
    <row r="34" spans="1:5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</row>
    <row r="35" spans="1:5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</row>
    <row r="36" spans="1:5">
      <c r="A36" s="15"/>
      <c r="B36" t="s">
        <v>27</v>
      </c>
      <c r="C36" s="15">
        <v>426.7</v>
      </c>
      <c r="D36" s="15">
        <v>100</v>
      </c>
      <c r="E36" s="15">
        <v>100</v>
      </c>
    </row>
    <row r="37" spans="1:5">
      <c r="A37" s="15"/>
      <c r="B37" t="s">
        <v>11</v>
      </c>
      <c r="C37" s="15">
        <v>413.2</v>
      </c>
      <c r="D37" s="15">
        <v>94.1</v>
      </c>
      <c r="E37" s="15">
        <v>99.2</v>
      </c>
    </row>
    <row r="38" spans="1:5">
      <c r="A38" s="15">
        <v>2017.08</v>
      </c>
      <c r="B38" t="s">
        <v>12</v>
      </c>
      <c r="C38" s="15">
        <v>411.7</v>
      </c>
      <c r="D38" s="15">
        <v>94.2</v>
      </c>
      <c r="E38" s="15">
        <v>99.2</v>
      </c>
    </row>
    <row r="39" spans="1:5">
      <c r="A39" s="15">
        <v>2017.09</v>
      </c>
      <c r="B39" t="s">
        <v>13</v>
      </c>
      <c r="C39" s="15">
        <v>411.7</v>
      </c>
      <c r="D39" s="15">
        <v>94.2</v>
      </c>
      <c r="E39" s="15">
        <v>99.2</v>
      </c>
    </row>
    <row r="40" spans="1:5">
      <c r="A40" s="15">
        <v>2017.1</v>
      </c>
      <c r="B40" t="s">
        <v>14</v>
      </c>
      <c r="C40" s="15">
        <v>416.1</v>
      </c>
      <c r="D40" s="15">
        <v>94.1</v>
      </c>
      <c r="E40" s="15">
        <v>99.2</v>
      </c>
    </row>
    <row r="41" spans="1:5">
      <c r="A41" s="15"/>
      <c r="B41" t="s">
        <v>15</v>
      </c>
      <c r="C41" s="15">
        <v>416.5</v>
      </c>
      <c r="D41" s="15">
        <v>96.4</v>
      </c>
      <c r="E41" s="15">
        <v>99.5</v>
      </c>
    </row>
    <row r="42" spans="1:5">
      <c r="A42" s="15">
        <v>2017.11</v>
      </c>
      <c r="B42" t="s">
        <v>16</v>
      </c>
      <c r="C42" s="15">
        <v>416.1</v>
      </c>
      <c r="D42" s="15">
        <v>95</v>
      </c>
      <c r="E42" s="15">
        <v>99.5</v>
      </c>
    </row>
    <row r="43" spans="1:5">
      <c r="A43" s="15">
        <v>2017.12</v>
      </c>
      <c r="B43" t="s">
        <v>17</v>
      </c>
      <c r="C43" s="15">
        <v>416.1</v>
      </c>
      <c r="D43" s="15">
        <v>96.2</v>
      </c>
      <c r="E43" s="15">
        <v>99.5</v>
      </c>
    </row>
    <row r="44" spans="1:5">
      <c r="A44" s="15">
        <v>2018.01</v>
      </c>
      <c r="B44" t="s">
        <v>18</v>
      </c>
      <c r="C44" s="15">
        <v>417.2</v>
      </c>
      <c r="D44" s="15">
        <v>98.1</v>
      </c>
      <c r="E44" s="15">
        <v>99.5</v>
      </c>
    </row>
    <row r="45" spans="1:5">
      <c r="A45" s="15"/>
      <c r="B45" t="s">
        <v>19</v>
      </c>
      <c r="C45" s="15">
        <v>433.3</v>
      </c>
      <c r="D45" s="15">
        <v>102.5</v>
      </c>
      <c r="E45" s="15">
        <v>100.6</v>
      </c>
    </row>
    <row r="46" spans="1:5">
      <c r="A46" s="15">
        <v>2018.02</v>
      </c>
      <c r="B46" t="s">
        <v>20</v>
      </c>
      <c r="C46" s="15">
        <v>424.7</v>
      </c>
      <c r="D46" s="15">
        <v>101.8</v>
      </c>
      <c r="E46" s="15">
        <v>100.6</v>
      </c>
    </row>
    <row r="47" spans="1:5">
      <c r="A47" s="15">
        <v>2018.03</v>
      </c>
      <c r="B47" t="s">
        <v>21</v>
      </c>
      <c r="C47" s="15">
        <v>437.4</v>
      </c>
      <c r="D47" s="15">
        <v>102.9</v>
      </c>
      <c r="E47" s="15">
        <v>100.6</v>
      </c>
    </row>
    <row r="48" spans="1:5">
      <c r="A48" s="15">
        <v>2018.04</v>
      </c>
      <c r="B48" t="s">
        <v>22</v>
      </c>
      <c r="C48" s="15">
        <v>437.9</v>
      </c>
      <c r="D48" s="15">
        <v>102.9</v>
      </c>
      <c r="E48" s="15">
        <v>100.6</v>
      </c>
    </row>
    <row r="49" spans="1:7">
      <c r="A49" s="15"/>
      <c r="B49" t="s">
        <v>23</v>
      </c>
      <c r="C49" s="15">
        <v>444</v>
      </c>
      <c r="D49" s="15">
        <v>106.9</v>
      </c>
      <c r="E49" s="15">
        <v>100.7</v>
      </c>
    </row>
    <row r="50" spans="1:7">
      <c r="A50" s="15">
        <v>2018.05</v>
      </c>
      <c r="B50" t="s">
        <v>24</v>
      </c>
      <c r="C50" s="15">
        <v>443</v>
      </c>
      <c r="D50" s="15">
        <v>105.9</v>
      </c>
      <c r="E50" s="15">
        <v>100.7</v>
      </c>
    </row>
    <row r="51" spans="1:7">
      <c r="A51" s="15">
        <v>2018.06</v>
      </c>
      <c r="B51" t="s">
        <v>25</v>
      </c>
      <c r="C51" s="15">
        <v>443</v>
      </c>
      <c r="D51" s="15">
        <v>106.6</v>
      </c>
      <c r="E51" s="15">
        <v>100.7</v>
      </c>
    </row>
    <row r="52" spans="1:7">
      <c r="A52" s="15">
        <v>2018.07</v>
      </c>
      <c r="B52" t="s">
        <v>26</v>
      </c>
      <c r="C52" s="15">
        <v>445.9</v>
      </c>
      <c r="D52" s="15">
        <v>108.2</v>
      </c>
      <c r="E52" s="15">
        <v>100.7</v>
      </c>
    </row>
    <row r="53" spans="1:7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G53" s="15"/>
    </row>
    <row r="54" spans="1:7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G54" s="15"/>
    </row>
    <row r="55" spans="1:7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G55" s="15"/>
    </row>
    <row r="56" spans="1:7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G56" s="15"/>
    </row>
    <row r="57" spans="1:7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G57" s="15"/>
    </row>
    <row r="58" spans="1:7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G58" s="15"/>
    </row>
    <row r="59" spans="1:7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G59" s="15"/>
    </row>
    <row r="60" spans="1:7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G60" s="15"/>
    </row>
    <row r="61" spans="1:7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G61" s="15"/>
    </row>
    <row r="62" spans="1:7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G62" s="15"/>
    </row>
    <row r="63" spans="1:7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G63" s="15"/>
    </row>
    <row r="64" spans="1:7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G64" s="15"/>
    </row>
    <row r="65" spans="1:7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G65" s="15"/>
    </row>
    <row r="66" spans="1:7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G66" s="15"/>
    </row>
    <row r="67" spans="1:7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G67" s="15"/>
    </row>
    <row r="68" spans="1:7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G68" s="15"/>
    </row>
    <row r="69" spans="1:7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G69" s="15"/>
    </row>
    <row r="70" spans="1:7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G70" s="15"/>
    </row>
    <row r="71" spans="1:7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G71" s="15"/>
    </row>
    <row r="72" spans="1:7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G72" s="15"/>
    </row>
    <row r="73" spans="1:7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G73" s="15"/>
    </row>
    <row r="74" spans="1:7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G74" s="15"/>
    </row>
    <row r="75" spans="1:7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G75" s="15"/>
    </row>
    <row r="76" spans="1:7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G76" s="15"/>
    </row>
    <row r="77" spans="1:7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G77" s="15"/>
    </row>
    <row r="78" spans="1:7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G78" s="15"/>
    </row>
    <row r="79" spans="1:7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G79" s="15"/>
    </row>
    <row r="80" spans="1:7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G80" s="15"/>
    </row>
    <row r="81" spans="1:7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G81" s="15"/>
    </row>
    <row r="82" spans="1:7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G82" s="15"/>
    </row>
    <row r="83" spans="1:7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G83" s="15"/>
    </row>
    <row r="84" spans="1:7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G84" s="15"/>
    </row>
    <row r="85" spans="1:7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G85" s="15"/>
    </row>
    <row r="86" spans="1:7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G86" s="15"/>
    </row>
    <row r="87" spans="1:7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G87" s="15"/>
    </row>
    <row r="88" spans="1:7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G88" s="15"/>
    </row>
    <row r="89" spans="1:7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G89" s="15"/>
    </row>
    <row r="90" spans="1:7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G90" s="15"/>
    </row>
    <row r="91" spans="1:7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G91" s="15"/>
    </row>
    <row r="92" spans="1:7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G92" s="15"/>
    </row>
    <row r="93" spans="1:7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G93" s="15"/>
    </row>
    <row r="94" spans="1:7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G94" s="15"/>
    </row>
    <row r="95" spans="1:7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G95" s="15"/>
    </row>
    <row r="96" spans="1:7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G96" s="15"/>
    </row>
    <row r="97" spans="1:7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G97" s="15"/>
    </row>
    <row r="98" spans="1:7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G98" s="15"/>
    </row>
    <row r="99" spans="1:7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G99" s="15"/>
    </row>
    <row r="100" spans="1:7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G100" s="15"/>
    </row>
    <row r="101" spans="1:7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G101" s="15"/>
    </row>
    <row r="102" spans="1:7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G102" s="15"/>
    </row>
    <row r="103" spans="1:7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</row>
    <row r="104" spans="1:7">
      <c r="A104" s="15"/>
      <c r="B104" t="s">
        <v>60</v>
      </c>
      <c r="C104" s="15"/>
      <c r="D104" s="15"/>
      <c r="E104" s="15"/>
    </row>
    <row r="105" spans="1:7">
      <c r="A105" s="15"/>
      <c r="B105" t="s">
        <v>11</v>
      </c>
      <c r="C105" s="15"/>
      <c r="D105" s="15"/>
      <c r="E105" s="15"/>
    </row>
    <row r="106" spans="1:7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</row>
    <row r="107" spans="1:7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</row>
    <row r="108" spans="1:7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</row>
    <row r="109" spans="1:7">
      <c r="A109" s="15"/>
      <c r="B109" t="s">
        <v>15</v>
      </c>
      <c r="C109" s="15"/>
      <c r="D109" s="15"/>
      <c r="E109" s="15"/>
    </row>
    <row r="110" spans="1:7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</row>
    <row r="111" spans="1:7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</row>
    <row r="112" spans="1:7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</row>
    <row r="113" spans="1:5">
      <c r="A113" s="15"/>
      <c r="B113" t="s">
        <v>19</v>
      </c>
      <c r="C113" s="15"/>
      <c r="D113" s="15"/>
      <c r="E113" s="15"/>
    </row>
    <row r="114" spans="1:5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</row>
    <row r="115" spans="1:5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</row>
    <row r="116" spans="1:5">
      <c r="A116" s="15"/>
      <c r="B116" t="s">
        <v>22</v>
      </c>
      <c r="C116" s="15"/>
      <c r="D116" s="15"/>
      <c r="E116" s="15"/>
    </row>
    <row r="117" spans="1:5">
      <c r="A117" s="15"/>
      <c r="B117" t="s">
        <v>23</v>
      </c>
      <c r="C117" s="15"/>
      <c r="D117" s="15"/>
      <c r="E117" s="15"/>
    </row>
    <row r="118" spans="1:5">
      <c r="A118" s="15"/>
      <c r="B118" t="s">
        <v>24</v>
      </c>
      <c r="C118" s="15"/>
      <c r="D118" s="15"/>
      <c r="E118" s="15"/>
    </row>
    <row r="119" spans="1:5">
      <c r="A119" s="15"/>
      <c r="B119" t="s">
        <v>25</v>
      </c>
      <c r="C119" s="15"/>
      <c r="D119" s="15"/>
      <c r="E119" s="15"/>
    </row>
    <row r="120" spans="1:5">
      <c r="A120" s="15"/>
      <c r="B120" t="s">
        <v>26</v>
      </c>
      <c r="C120" s="15"/>
      <c r="D120" s="15"/>
      <c r="E120" s="15"/>
    </row>
  </sheetData>
  <conditionalFormatting sqref="A2:E120">
    <cfRule type="expression" dxfId="7" priority="3">
      <formula>RIGHT($B2,3)="Qtr"</formula>
    </cfRule>
    <cfRule type="expression" dxfId="6" priority="4">
      <formula>OR(LEFT($B2,1)="2", LEFT($B2,1)="1")</formula>
    </cfRule>
  </conditionalFormatting>
  <conditionalFormatting sqref="A104:E104">
    <cfRule type="expression" dxfId="5" priority="1">
      <formula>RIGHT($B104,3)="Qtr"</formula>
    </cfRule>
    <cfRule type="expression" dxfId="4" priority="2">
      <formula>OR(LEFT($B104,1)="2", LEFT($B104,1)="1")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BS</vt:lpstr>
      <vt:lpstr>AD</vt:lpstr>
      <vt:lpstr>Indices</vt:lpstr>
      <vt:lpstr>AD!a</vt:lpstr>
      <vt:lpstr>BS!a</vt:lpstr>
      <vt:lpstr>AD!b</vt:lpstr>
      <vt:lpstr>BS!b</vt:lpstr>
      <vt:lpstr>AD!c_</vt:lpstr>
      <vt:lpstr>BS!c_</vt:lpstr>
      <vt:lpstr>AD!d</vt:lpstr>
      <vt:lpstr>BS!d</vt:lpstr>
      <vt:lpstr>AD!lo</vt:lpstr>
      <vt:lpstr>BS!lo</vt:lpstr>
      <vt:lpstr>AD!mo</vt:lpstr>
      <vt:lpstr>BS!mo</vt:lpstr>
      <vt:lpstr>AD!no</vt:lpstr>
      <vt:lpstr>BS!no</vt:lpstr>
      <vt:lpstr>AD!Print_Area</vt:lpstr>
      <vt:lpstr>BS!Print_Area</vt:lpstr>
      <vt:lpstr>BS!VAT</vt:lpstr>
      <vt:lpstr>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2022-05-11T04:55:27Z</cp:lastPrinted>
  <dcterms:created xsi:type="dcterms:W3CDTF">2021-11-26T02:59:12Z</dcterms:created>
  <dcterms:modified xsi:type="dcterms:W3CDTF">2022-05-11T05:08:50Z</dcterms:modified>
</cp:coreProperties>
</file>