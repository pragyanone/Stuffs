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CFD1C669-EB2E-4C92-8CC5-2F0045E777A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PC" sheetId="5" r:id="rId1"/>
    <sheet name="Project" sheetId="10" r:id="rId2"/>
    <sheet name="Sheet1" sheetId="11" r:id="rId3"/>
    <sheet name="Indices" sheetId="2" state="hidden" r:id="rId4"/>
  </sheets>
  <functionGroups builtInGroupCount="19"/>
  <definedNames>
    <definedName name="a" localSheetId="0">IPC!$A$17</definedName>
    <definedName name="amount">projectTable[Amount Paid on
Completion (w/o VAT)]</definedName>
    <definedName name="b" localSheetId="0">IPC!$B$17</definedName>
    <definedName name="c_" localSheetId="0">IPC!$C$17</definedName>
    <definedName name="completionDate">projectTable[Actual Date
of Completion]</definedName>
    <definedName name="d" localSheetId="0">IPC!$D$17</definedName>
    <definedName name="dates">ipcTable[AD Date]</definedName>
    <definedName name="dateType">IPC!$Y$3</definedName>
    <definedName name="dateType1">Project!$Z$3</definedName>
    <definedName name="intendedCompletionDate">IPC!$H$12</definedName>
    <definedName name="lo" localSheetId="0">IPC!$C$12</definedName>
    <definedName name="mo" localSheetId="0">IPC!$D$12</definedName>
    <definedName name="no" localSheetId="0">IPC!$E$12</definedName>
    <definedName name="originalIndex">projectTable[National Wholesale
Price Index (overall)]</definedName>
    <definedName name="presentDate">Project!$B$3</definedName>
    <definedName name="presentIndex">Project!$B$5</definedName>
    <definedName name="_xlnm.Print_Area" localSheetId="0">IPC!$A$1:$N$29</definedName>
    <definedName name="Remaining">IPC!$M$25</definedName>
    <definedName name="VAT" localSheetId="0">IPC!$M$26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61" i="2" l="1"/>
  <c r="O161" i="2"/>
  <c r="P161" i="2"/>
  <c r="Q161" i="2"/>
  <c r="N162" i="2"/>
  <c r="O162" i="2"/>
  <c r="P162" i="2"/>
  <c r="Q162" i="2"/>
  <c r="N163" i="2"/>
  <c r="O163" i="2"/>
  <c r="P163" i="2"/>
  <c r="Q163" i="2"/>
  <c r="N164" i="2"/>
  <c r="O164" i="2"/>
  <c r="P164" i="2"/>
  <c r="Q164" i="2"/>
  <c r="N165" i="2"/>
  <c r="O165" i="2"/>
  <c r="P165" i="2"/>
  <c r="Q165" i="2"/>
  <c r="N22" i="5" a="1"/>
  <c r="N22" i="5" l="1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01" i="2"/>
  <c r="O101" i="2"/>
  <c r="P101" i="2"/>
  <c r="O102" i="2"/>
  <c r="P102" i="2"/>
  <c r="O103" i="2"/>
  <c r="P103" i="2"/>
  <c r="O104" i="2"/>
  <c r="P104" i="2"/>
  <c r="O105" i="2"/>
  <c r="P105" i="2"/>
  <c r="O106" i="2"/>
  <c r="P106" i="2"/>
  <c r="O107" i="2"/>
  <c r="P107" i="2"/>
  <c r="O108" i="2"/>
  <c r="P108" i="2"/>
  <c r="O109" i="2"/>
  <c r="P109" i="2"/>
  <c r="O110" i="2"/>
  <c r="P110" i="2"/>
  <c r="O111" i="2"/>
  <c r="P111" i="2"/>
  <c r="O112" i="2"/>
  <c r="P112" i="2"/>
  <c r="O113" i="2"/>
  <c r="P113" i="2"/>
  <c r="O114" i="2"/>
  <c r="P114" i="2"/>
  <c r="O115" i="2"/>
  <c r="P115" i="2"/>
  <c r="O116" i="2"/>
  <c r="P116" i="2"/>
  <c r="O117" i="2"/>
  <c r="P117" i="2"/>
  <c r="O118" i="2"/>
  <c r="P118" i="2"/>
  <c r="O119" i="2"/>
  <c r="P119" i="2"/>
  <c r="O120" i="2"/>
  <c r="P120" i="2"/>
  <c r="O121" i="2"/>
  <c r="P121" i="2"/>
  <c r="O122" i="2"/>
  <c r="P122" i="2"/>
  <c r="O123" i="2"/>
  <c r="P123" i="2"/>
  <c r="O124" i="2"/>
  <c r="P124" i="2"/>
  <c r="O125" i="2"/>
  <c r="P125" i="2"/>
  <c r="O126" i="2"/>
  <c r="P126" i="2"/>
  <c r="O127" i="2"/>
  <c r="P127" i="2"/>
  <c r="O128" i="2"/>
  <c r="P128" i="2"/>
  <c r="O129" i="2"/>
  <c r="P129" i="2"/>
  <c r="O130" i="2"/>
  <c r="P130" i="2"/>
  <c r="O131" i="2"/>
  <c r="P131" i="2"/>
  <c r="O132" i="2"/>
  <c r="P132" i="2"/>
  <c r="O133" i="2"/>
  <c r="P133" i="2"/>
  <c r="O134" i="2"/>
  <c r="P134" i="2"/>
  <c r="O135" i="2"/>
  <c r="P135" i="2"/>
  <c r="O136" i="2"/>
  <c r="P136" i="2"/>
  <c r="O137" i="2"/>
  <c r="P137" i="2"/>
  <c r="O138" i="2"/>
  <c r="P138" i="2"/>
  <c r="O139" i="2"/>
  <c r="P139" i="2"/>
  <c r="O140" i="2"/>
  <c r="P140" i="2"/>
  <c r="O141" i="2"/>
  <c r="P141" i="2"/>
  <c r="O142" i="2"/>
  <c r="P142" i="2"/>
  <c r="O143" i="2"/>
  <c r="P143" i="2"/>
  <c r="O144" i="2"/>
  <c r="P144" i="2"/>
  <c r="O145" i="2"/>
  <c r="P145" i="2"/>
  <c r="O146" i="2"/>
  <c r="P146" i="2"/>
  <c r="O147" i="2"/>
  <c r="P147" i="2"/>
  <c r="O148" i="2"/>
  <c r="P148" i="2"/>
  <c r="O149" i="2"/>
  <c r="P149" i="2"/>
  <c r="O150" i="2"/>
  <c r="P150" i="2"/>
  <c r="O151" i="2"/>
  <c r="P151" i="2"/>
  <c r="O152" i="2"/>
  <c r="P152" i="2"/>
  <c r="O153" i="2"/>
  <c r="P153" i="2"/>
  <c r="O154" i="2"/>
  <c r="P154" i="2"/>
  <c r="O155" i="2"/>
  <c r="P155" i="2"/>
  <c r="O156" i="2"/>
  <c r="P156" i="2"/>
  <c r="O157" i="2"/>
  <c r="P157" i="2"/>
  <c r="O158" i="2"/>
  <c r="P158" i="2"/>
  <c r="O159" i="2"/>
  <c r="P159" i="2"/>
  <c r="O160" i="2"/>
  <c r="P160" i="2"/>
  <c r="N100" i="2"/>
  <c r="N157" i="2"/>
  <c r="N158" i="2"/>
  <c r="N159" i="2"/>
  <c r="N160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01" i="2"/>
  <c r="N102" i="2"/>
  <c r="N103" i="2"/>
  <c r="N104" i="2"/>
  <c r="B32" i="5" l="1"/>
  <c r="C20" i="5" a="1"/>
  <c r="C20" i="5" l="1"/>
  <c r="K20" i="5" a="1"/>
  <c r="I20" i="5" a="1"/>
  <c r="J20" i="5" a="1"/>
  <c r="J20" i="5" l="1"/>
  <c r="K20" i="5"/>
  <c r="I20" i="5"/>
  <c r="E9" i="10"/>
  <c r="C9" i="10" a="1"/>
  <c r="G13" i="5" a="1"/>
  <c r="A13" i="5" a="1"/>
  <c r="D9" i="10" a="1"/>
  <c r="N21" i="5" a="1"/>
  <c r="N20" i="5" a="1"/>
  <c r="I12" i="5" a="1"/>
  <c r="N21" i="5" l="1"/>
  <c r="N20" i="5"/>
  <c r="I12" i="5"/>
  <c r="D9" i="10"/>
  <c r="C9" i="10"/>
  <c r="A13" i="5"/>
  <c r="G13" i="5"/>
  <c r="J12" i="5" a="1"/>
  <c r="J12" i="5" l="1"/>
  <c r="G23" i="5"/>
  <c r="F23" i="5"/>
  <c r="M12" i="5" a="1"/>
  <c r="L12" i="5" a="1"/>
  <c r="N12" i="5" a="1"/>
  <c r="M12" i="5" l="1"/>
  <c r="L12" i="5"/>
  <c r="N12" i="5"/>
  <c r="H20" i="5"/>
  <c r="H21" i="5" l="1"/>
  <c r="H22" i="5"/>
  <c r="C22" i="5" a="1"/>
  <c r="C22" i="5" l="1"/>
  <c r="B12" i="5" a="1"/>
  <c r="D22" i="5" a="1"/>
  <c r="E22" i="5" a="1"/>
  <c r="D8" i="10" a="1"/>
  <c r="K22" i="5" a="1"/>
  <c r="J22" i="5" a="1"/>
  <c r="I22" i="5" a="1"/>
  <c r="B3" i="10"/>
  <c r="K22" i="5" l="1"/>
  <c r="J22" i="5"/>
  <c r="I22" i="5"/>
  <c r="D22" i="5"/>
  <c r="E22" i="5"/>
  <c r="B12" i="5"/>
  <c r="D8" i="10"/>
  <c r="D12" i="5"/>
  <c r="C12" i="5"/>
  <c r="B13" i="5" a="1"/>
  <c r="B14" i="5" a="1"/>
  <c r="B4" i="10" a="1"/>
  <c r="C3" i="10" a="1"/>
  <c r="B4" i="10" l="1"/>
  <c r="B14" i="5"/>
  <c r="B13" i="5"/>
  <c r="C3" i="10"/>
  <c r="C21" i="5" a="1"/>
  <c r="E12" i="5"/>
  <c r="L22" i="5" l="1"/>
  <c r="M22" i="5" s="1"/>
  <c r="C21" i="5"/>
  <c r="E17" i="5"/>
  <c r="E8" i="10"/>
  <c r="C8" i="10" a="1"/>
  <c r="D20" i="5" a="1"/>
  <c r="D21" i="5" a="1"/>
  <c r="E20" i="5" a="1"/>
  <c r="E21" i="5" a="1"/>
  <c r="K21" i="5" a="1"/>
  <c r="J21" i="5" a="1"/>
  <c r="I21" i="5" a="1"/>
  <c r="B5" i="10"/>
  <c r="K21" i="5" l="1"/>
  <c r="J21" i="5"/>
  <c r="I21" i="5"/>
  <c r="D21" i="5"/>
  <c r="D20" i="5"/>
  <c r="G8" i="10"/>
  <c r="H8" i="10" s="1"/>
  <c r="G9" i="10"/>
  <c r="H9" i="10" s="1"/>
  <c r="E21" i="5"/>
  <c r="E20" i="5"/>
  <c r="C8" i="10"/>
  <c r="H23" i="5"/>
  <c r="L21" i="5" l="1"/>
  <c r="M21" i="5" s="1"/>
  <c r="L20" i="5"/>
  <c r="M20" i="5" s="1"/>
  <c r="M23" i="5" l="1"/>
  <c r="M25" i="5" s="1"/>
  <c r="M26" i="5" s="1"/>
  <c r="M27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<sst xmlns="http://schemas.openxmlformats.org/spreadsheetml/2006/main" count="224" uniqueCount="116">
  <si>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</si>
  <si>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</si>
  <si>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</si>
  <si>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</si>
  <si>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</si>
  <si>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</si>
  <si>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</si>
  <si>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</si>
  <si>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</si>
  <si>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</si>
  <si>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</si>
  <si>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</si>
  <si>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</si>
  <si>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</si>
  <si>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</si>
  <si>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</si>
  <si>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</si>
  <si>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</si>
  <si>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</si>
  <si>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</si>
  <si>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</si>
  <si>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</si>
  <si>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</si>
  <si>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</si>
  <si>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</si>
  <si>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</si>
  <si>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</si>
  <si>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</si>
  <si>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</si>
  <si>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</si>
  <si>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</si>
  <si>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</si>
  <si>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</si>
  <si>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</si>
  <si>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</si>
  <si>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</si>
  <si>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</si>
  <si>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</si>
  <si>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</si>
  <si>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</si>
  <si>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</si>
  <si>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</si>
  <si>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</si>
  <si>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</si>
  <si>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</si>
  <si>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</si>
  <si>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</si>
  <si>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</si>
  <si>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</si>
  <si>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</si>
  <si>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</si>
  <si>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</si>
  <si>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</si>
  <si>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</si>
  <si>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</si>
  <si>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</si>
  <si>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</si>
  <si>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</si>
  <si>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</si>
  <si>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</si>
  <si>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</si>
  <si>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</si>
  <si>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</si>
  <si>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</si>
  <si>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</si>
  <si>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</si>
  <si>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2075-1-1</t>
  </si>
  <si>
    <t>p1</t>
  </si>
  <si>
    <t>Contractor:</t>
  </si>
  <si>
    <t>PRICE ADJUSTMENT for IPCs</t>
  </si>
  <si>
    <t>AD Date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</si>
  <si>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</si>
  <si>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</si>
  <si>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</si>
  <si>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</si>
  <si>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</si>
  <si>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</si>
  <si>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</si>
  <si>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30 days prior to Last Date for Bid Submission</t>
  </si>
  <si>
    <t>Base Indices (for 30 days prior to Last Date for Bid Submission)</t>
  </si>
  <si>
    <t>Intended Completion Date</t>
  </si>
  <si>
    <t>Agreement Date</t>
  </si>
  <si>
    <t>Indices freeze at</t>
  </si>
  <si>
    <t>Deduction for PS / Other</t>
  </si>
  <si>
    <t>Multplying Factor</t>
  </si>
  <si>
    <t>p2</t>
  </si>
  <si>
    <t>2076-9-9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</si>
  <si>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</si>
  <si>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</si>
  <si>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</si>
  <si>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</si>
  <si>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</si>
  <si>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</si>
  <si>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</si>
  <si>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</si>
  <si>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L</t>
  </si>
  <si>
    <t>M</t>
  </si>
  <si>
    <t>E</t>
  </si>
  <si>
    <t>Employer:</t>
  </si>
  <si>
    <t>Project's Present Value</t>
  </si>
  <si>
    <t>IPC Submission
Date</t>
  </si>
  <si>
    <t>Last Date for
Bid Submission</t>
  </si>
  <si>
    <t>2078-1-1</t>
  </si>
  <si>
    <t>provisional</t>
  </si>
  <si>
    <t>2078-2-1</t>
  </si>
  <si>
    <t>data upto:</t>
  </si>
  <si>
    <t>2078-3-1</t>
  </si>
  <si>
    <t>2079-3-1</t>
  </si>
  <si>
    <t>2080-3-1</t>
  </si>
  <si>
    <t>L: NRB National Salary and Wage Rate Index, Construction Labourer</t>
  </si>
  <si>
    <t>M: NRB National Wholesale Price Index,  Construction Material</t>
  </si>
  <si>
    <t>E: NRB National Wholesale Price Index, Machinery and Equipment</t>
  </si>
  <si>
    <t>Check if revised</t>
  </si>
  <si>
    <t>As per G.C.C. 53.1</t>
  </si>
  <si>
    <t>Previously Paid</t>
  </si>
  <si>
    <t>Remaining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</si>
</sst>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[Red]\(&quot;$&quot;#,##0.00\)"/>
    <numFmt numFmtId="165" formatCode="&quot;₹&quot;\ #,##0.00;[Red]&quot;₹&quot;\ \-#,##0.00"/>
    <numFmt numFmtId="166" formatCode="_ * #,##0_ ;_ * \-#,##0_ ;_ * &quot;-&quot;_ ;_ @_ "/>
    <numFmt numFmtId="167" formatCode="_ * #,##0.00_ ;_ * \-#,##0.00_ ;_ * &quot;-&quot;??_ ;_ @_ "/>
    <numFmt numFmtId="168" formatCode="0.000"/>
    <numFmt numFmtId="169" formatCode="@\ &quot;(AD)&quot;"/>
    <numFmt numFmtId="170" formatCode="@\ &quot;BS&quot;"/>
    <numFmt numFmtId="171" formatCode="0.0000"/>
    <numFmt numFmtId="172" formatCode="_ * #,##0.00_ ;_ * \(#,##0.00\)_ ;_ * &quot;-&quot;??_ ;_ @_ "/>
  </numFmts>
  <fonts count="40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4"/>
      <color theme="1" tint="0.34998626667073579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4"/>
      <name val="Calibri"/>
      <scheme val="minor"/>
    </font>
    <font>
      <b/>
      <sz val="11"/>
      <color rgb="FFFF0000"/>
      <name val="Calibri"/>
      <family val="2"/>
      <scheme val="minor"/>
    </font>
    <font>
      <i/>
      <sz val="8"/>
      <color rgb="FF000000"/>
      <name val="Calibri"/>
      <family val="2"/>
    </font>
    <font>
      <b/>
      <u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74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6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7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2" fillId="0" borderId="0"/>
    <xf numFmtId="0" fontId="3" fillId="0" borderId="0"/>
    <xf numFmtId="0" fontId="6" fillId="0" borderId="0"/>
    <xf numFmtId="0" fontId="13" fillId="0" borderId="0"/>
    <xf numFmtId="0" fontId="3" fillId="0" borderId="0"/>
    <xf numFmtId="0" fontId="6" fillId="0" borderId="0"/>
    <xf numFmtId="167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7" fontId="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" fillId="0" borderId="0"/>
    <xf numFmtId="0" fontId="6" fillId="0" borderId="0"/>
    <xf numFmtId="0" fontId="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13" fillId="0" borderId="0"/>
    <xf numFmtId="0" fontId="3" fillId="0" borderId="0"/>
    <xf numFmtId="0" fontId="13" fillId="0" borderId="0"/>
    <xf numFmtId="0" fontId="13" fillId="0" borderId="0"/>
    <xf numFmtId="167" fontId="13" fillId="0" borderId="0" applyFont="0" applyFill="0" applyBorder="0" applyAlignment="0" applyProtection="0"/>
    <xf numFmtId="0" fontId="3" fillId="0" borderId="0"/>
    <xf numFmtId="0" fontId="15" fillId="0" borderId="0" applyNumberFormat="0" applyFill="0" applyBorder="0" applyAlignment="0" applyProtection="0"/>
    <xf numFmtId="0" fontId="18" fillId="0" borderId="0">
      <alignment vertical="center"/>
    </xf>
    <xf numFmtId="164" fontId="2" fillId="0" borderId="0" applyFont="0" applyFill="0" applyBorder="0" applyAlignment="0" applyProtection="0"/>
    <xf numFmtId="0" fontId="3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2" fillId="0" borderId="0"/>
    <xf numFmtId="0" fontId="3" fillId="0" borderId="0"/>
  </cellStyleXfs>
  <cellXfs count="115">
    <xf numFmtId="0" fontId="0" fillId="0" borderId="0" xfId="0"/>
    <xf numFmtId="0" fontId="0" fillId="0" borderId="0" xfId="0" applyFont="1"/>
    <xf numFmtId="0" fontId="8" fillId="0" borderId="0" xfId="0" applyFont="1" applyAlignment="1">
      <alignment horizontal="center" vertical="top"/>
    </xf>
    <xf numFmtId="0" fontId="0" fillId="0" borderId="1" xfId="0" applyFont="1" applyFill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8" fontId="0" fillId="0" borderId="0" xfId="0" applyNumberFormat="1"/>
    <xf numFmtId="0" fontId="10" fillId="0" borderId="0" xfId="0" applyFont="1" applyAlignment="1">
      <alignment vertical="top"/>
    </xf>
    <xf numFmtId="0" fontId="20" fillId="0" borderId="0" xfId="0" applyFont="1"/>
    <xf numFmtId="0" fontId="19" fillId="0" borderId="0" xfId="0" applyFont="1" applyAlignment="1">
      <alignment horizontal="center" vertical="top"/>
    </xf>
    <xf numFmtId="0" fontId="20" fillId="0" borderId="1" xfId="0" applyFont="1" applyBorder="1"/>
    <xf numFmtId="0" fontId="20" fillId="0" borderId="1" xfId="0" applyFont="1" applyBorder="1" applyAlignment="1">
      <alignment wrapText="1"/>
    </xf>
    <xf numFmtId="2" fontId="20" fillId="0" borderId="1" xfId="0" applyNumberFormat="1" applyFont="1" applyBorder="1" applyAlignment="1">
      <alignment horizontal="left"/>
    </xf>
    <xf numFmtId="2" fontId="20" fillId="0" borderId="6" xfId="0" applyNumberFormat="1" applyFont="1" applyBorder="1" applyAlignment="1">
      <alignment horizontal="center"/>
    </xf>
    <xf numFmtId="167" fontId="20" fillId="0" borderId="6" xfId="12" applyFont="1" applyBorder="1"/>
    <xf numFmtId="167" fontId="21" fillId="0" borderId="7" xfId="12" applyFont="1" applyBorder="1"/>
    <xf numFmtId="0" fontId="21" fillId="0" borderId="2" xfId="0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2" fontId="7" fillId="2" borderId="1" xfId="0" applyNumberFormat="1" applyFont="1" applyFill="1" applyBorder="1" applyAlignment="1">
      <alignment horizontal="center"/>
    </xf>
    <xf numFmtId="0" fontId="20" fillId="2" borderId="5" xfId="0" applyFont="1" applyFill="1" applyBorder="1"/>
    <xf numFmtId="49" fontId="20" fillId="2" borderId="6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ont="1" applyFill="1"/>
    <xf numFmtId="0" fontId="0" fillId="0" borderId="0" xfId="0" applyFont="1" applyFill="1" applyAlignment="1"/>
    <xf numFmtId="0" fontId="0" fillId="0" borderId="0" xfId="0" applyFont="1" applyFill="1" applyAlignment="1">
      <alignment vertical="top"/>
    </xf>
    <xf numFmtId="0" fontId="0" fillId="0" borderId="0" xfId="0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/>
    </xf>
    <xf numFmtId="0" fontId="0" fillId="0" borderId="0" xfId="0" applyFont="1" applyFill="1" applyBorder="1"/>
    <xf numFmtId="169" fontId="23" fillId="0" borderId="0" xfId="0" applyNumberFormat="1" applyFont="1" applyFill="1" applyAlignment="1">
      <alignment horizontal="center"/>
    </xf>
    <xf numFmtId="14" fontId="0" fillId="0" borderId="0" xfId="0" applyNumberFormat="1" applyFont="1" applyFill="1"/>
    <xf numFmtId="0" fontId="0" fillId="0" borderId="1" xfId="0" applyFont="1" applyFill="1" applyBorder="1" applyAlignment="1">
      <alignment horizontal="center" vertical="center" wrapText="1"/>
    </xf>
    <xf numFmtId="167" fontId="7" fillId="0" borderId="0" xfId="0" applyNumberFormat="1" applyFont="1" applyFill="1" applyBorder="1"/>
    <xf numFmtId="49" fontId="7" fillId="0" borderId="0" xfId="0" applyNumberFormat="1" applyFont="1" applyFill="1" applyBorder="1" applyAlignment="1">
      <alignment horizontal="right"/>
    </xf>
    <xf numFmtId="167" fontId="7" fillId="0" borderId="0" xfId="0" applyNumberFormat="1" applyFont="1" applyFill="1" applyBorder="1" applyAlignment="1">
      <alignment horizontal="right"/>
    </xf>
    <xf numFmtId="14" fontId="7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left"/>
    </xf>
    <xf numFmtId="14" fontId="7" fillId="0" borderId="0" xfId="0" applyNumberFormat="1" applyFont="1" applyFill="1" applyBorder="1" applyAlignment="1">
      <alignment horizontal="center"/>
    </xf>
    <xf numFmtId="170" fontId="7" fillId="2" borderId="1" xfId="0" applyNumberFormat="1" applyFont="1" applyFill="1" applyBorder="1" applyAlignment="1">
      <alignment horizontal="center"/>
    </xf>
    <xf numFmtId="171" fontId="0" fillId="0" borderId="1" xfId="0" applyNumberFormat="1" applyFont="1" applyFill="1" applyBorder="1" applyAlignment="1">
      <alignment horizontal="center"/>
    </xf>
    <xf numFmtId="0" fontId="27" fillId="0" borderId="1" xfId="0" applyNumberFormat="1" applyFont="1" applyFill="1" applyBorder="1" applyAlignment="1">
      <alignment horizontal="left"/>
    </xf>
    <xf numFmtId="0" fontId="26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8" fillId="0" borderId="6" xfId="0" applyNumberFormat="1" applyFont="1" applyBorder="1" applyAlignment="1">
      <alignment horizontal="center" wrapText="1"/>
    </xf>
    <xf numFmtId="0" fontId="25" fillId="0" borderId="0" xfId="0" applyNumberFormat="1" applyFont="1"/>
    <xf numFmtId="0" fontId="20" fillId="0" borderId="1" xfId="0" applyNumberFormat="1" applyFont="1" applyBorder="1" applyAlignment="1">
      <alignment horizontal="left"/>
    </xf>
    <xf numFmtId="0" fontId="0" fillId="0" borderId="0" xfId="0"/>
    <xf numFmtId="2" fontId="0" fillId="0" borderId="0" xfId="0" applyNumberFormat="1"/>
    <xf numFmtId="167" fontId="6" fillId="0" borderId="1" xfId="12" applyFont="1" applyFill="1" applyBorder="1"/>
    <xf numFmtId="167" fontId="6" fillId="2" borderId="1" xfId="12" applyFont="1" applyFill="1" applyBorder="1"/>
    <xf numFmtId="49" fontId="7" fillId="2" borderId="1" xfId="0" applyNumberFormat="1" applyFont="1" applyFill="1" applyBorder="1" applyAlignment="1">
      <alignment horizontal="center" vertical="center" wrapText="1"/>
    </xf>
    <xf numFmtId="49" fontId="9" fillId="0" borderId="0" xfId="0" applyNumberFormat="1" applyFont="1" applyFill="1" applyAlignment="1"/>
    <xf numFmtId="49" fontId="11" fillId="0" borderId="0" xfId="0" applyNumberFormat="1" applyFont="1" applyFill="1" applyAlignment="1"/>
    <xf numFmtId="0" fontId="0" fillId="0" borderId="6" xfId="0" applyFont="1" applyFill="1" applyBorder="1" applyAlignment="1">
      <alignment horizontal="center" vertical="center" wrapText="1"/>
    </xf>
    <xf numFmtId="49" fontId="0" fillId="2" borderId="1" xfId="0" applyNumberFormat="1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 wrapText="1"/>
    </xf>
    <xf numFmtId="0" fontId="14" fillId="0" borderId="12" xfId="0" applyFont="1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center" vertical="center"/>
    </xf>
    <xf numFmtId="0" fontId="31" fillId="0" borderId="12" xfId="0" applyFont="1" applyFill="1" applyBorder="1" applyAlignment="1">
      <alignment horizontal="center" vertical="center" wrapText="1"/>
    </xf>
    <xf numFmtId="0" fontId="29" fillId="0" borderId="12" xfId="0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/>
    </xf>
    <xf numFmtId="167" fontId="0" fillId="0" borderId="0" xfId="12" applyFont="1" applyFill="1"/>
    <xf numFmtId="172" fontId="6" fillId="0" borderId="1" xfId="12" applyNumberFormat="1" applyFont="1" applyFill="1" applyBorder="1"/>
    <xf numFmtId="167" fontId="33" fillId="2" borderId="1" xfId="12" applyNumberFormat="1" applyFont="1" applyFill="1" applyBorder="1"/>
    <xf numFmtId="167" fontId="34" fillId="0" borderId="0" xfId="0" applyNumberFormat="1" applyFont="1" applyFill="1" applyBorder="1"/>
    <xf numFmtId="167" fontId="7" fillId="0" borderId="11" xfId="0" applyNumberFormat="1" applyFont="1" applyFill="1" applyBorder="1"/>
    <xf numFmtId="0" fontId="35" fillId="0" borderId="0" xfId="0" applyFont="1" applyFill="1" applyBorder="1"/>
    <xf numFmtId="0" fontId="36" fillId="0" borderId="6" xfId="0" applyNumberFormat="1" applyFont="1" applyBorder="1" applyAlignment="1">
      <alignment horizontal="center"/>
    </xf>
    <xf numFmtId="0" fontId="36" fillId="0" borderId="6" xfId="0" applyNumberFormat="1" applyFont="1" applyBorder="1" applyAlignment="1">
      <alignment horizontal="center" wrapText="1"/>
    </xf>
    <xf numFmtId="2" fontId="20" fillId="0" borderId="7" xfId="12" applyNumberFormat="1" applyFont="1" applyBorder="1" applyAlignment="1">
      <alignment horizontal="right"/>
    </xf>
    <xf numFmtId="167" fontId="37" fillId="0" borderId="0" xfId="0" applyNumberFormat="1" applyFont="1" applyFill="1" applyBorder="1"/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14" fontId="0" fillId="0" borderId="0" xfId="0" applyNumberFormat="1" applyFill="1"/>
    <xf numFmtId="14" fontId="27" fillId="0" borderId="1" xfId="0" applyNumberFormat="1" applyFont="1" applyFill="1" applyBorder="1" applyAlignment="1">
      <alignment horizontal="left"/>
    </xf>
    <xf numFmtId="14" fontId="0" fillId="0" borderId="0" xfId="0" applyNumberFormat="1"/>
    <xf numFmtId="14" fontId="0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2" fontId="37" fillId="0" borderId="1" xfId="0" applyNumberFormat="1" applyFont="1" applyFill="1" applyBorder="1" applyAlignment="1">
      <alignment horizontal="center" vertical="center"/>
    </xf>
    <xf numFmtId="49" fontId="7" fillId="0" borderId="13" xfId="0" applyNumberFormat="1" applyFont="1" applyFill="1" applyBorder="1" applyAlignment="1">
      <alignment horizontal="right"/>
    </xf>
    <xf numFmtId="167" fontId="7" fillId="0" borderId="13" xfId="0" applyNumberFormat="1" applyFont="1" applyFill="1" applyBorder="1"/>
    <xf numFmtId="0" fontId="38" fillId="0" borderId="1" xfId="0" applyNumberFormat="1" applyFont="1" applyFill="1" applyBorder="1"/>
    <xf numFmtId="0" fontId="15" fillId="0" borderId="0" xfId="67" applyFill="1" applyAlignment="1">
      <alignment horizontal="right"/>
    </xf>
    <xf numFmtId="0" fontId="15" fillId="0" borderId="0" xfId="67" applyFill="1" applyAlignment="1">
      <alignment horizontal="left"/>
    </xf>
    <xf numFmtId="0" fontId="11" fillId="0" borderId="0" xfId="0" applyFont="1" applyFill="1"/>
    <xf numFmtId="0" fontId="17" fillId="0" borderId="0" xfId="0" applyFont="1" applyFill="1" applyAlignment="1">
      <alignment horizontal="left"/>
    </xf>
    <xf numFmtId="49" fontId="37" fillId="0" borderId="0" xfId="0" applyNumberFormat="1" applyFont="1" applyFill="1" applyBorder="1" applyAlignment="1">
      <alignment horizontal="right"/>
    </xf>
    <xf numFmtId="0" fontId="0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top" wrapText="1"/>
    </xf>
    <xf numFmtId="0" fontId="39" fillId="0" borderId="0" xfId="0" applyFont="1" applyFill="1" applyAlignment="1">
      <alignment horizontal="center" vertical="top"/>
    </xf>
    <xf numFmtId="0" fontId="0" fillId="0" borderId="8" xfId="0" applyNumberFormat="1" applyFont="1" applyFill="1" applyBorder="1" applyAlignment="1">
      <alignment horizontal="center" vertical="center" wrapText="1"/>
    </xf>
    <xf numFmtId="0" fontId="0" fillId="0" borderId="10" xfId="0" applyNumberFormat="1" applyFont="1" applyFill="1" applyBorder="1" applyAlignment="1">
      <alignment horizontal="center" vertical="center" wrapText="1"/>
    </xf>
    <xf numFmtId="0" fontId="33" fillId="0" borderId="8" xfId="0" applyFont="1" applyFill="1" applyBorder="1" applyAlignment="1">
      <alignment horizontal="center" vertical="center"/>
    </xf>
    <xf numFmtId="0" fontId="33" fillId="0" borderId="9" xfId="0" applyFont="1" applyFill="1" applyBorder="1" applyAlignment="1">
      <alignment horizontal="center" vertical="center"/>
    </xf>
    <xf numFmtId="0" fontId="33" fillId="0" borderId="10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center" wrapText="1"/>
    </xf>
    <xf numFmtId="0" fontId="0" fillId="0" borderId="9" xfId="0" applyFont="1" applyFill="1" applyBorder="1" applyAlignment="1">
      <alignment horizontal="center" wrapText="1"/>
    </xf>
    <xf numFmtId="0" fontId="0" fillId="0" borderId="10" xfId="0" applyFont="1" applyFill="1" applyBorder="1" applyAlignment="1">
      <alignment horizontal="center" wrapText="1"/>
    </xf>
    <xf numFmtId="0" fontId="0" fillId="0" borderId="6" xfId="0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 wrapText="1"/>
    </xf>
    <xf numFmtId="0" fontId="0" fillId="0" borderId="7" xfId="0" applyFont="1" applyFill="1" applyBorder="1" applyAlignment="1">
      <alignment horizontal="center" vertical="center" wrapText="1"/>
    </xf>
    <xf numFmtId="0" fontId="0" fillId="0" borderId="5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top"/>
    </xf>
    <xf numFmtId="2" fontId="8" fillId="0" borderId="14" xfId="0" applyNumberFormat="1" applyFont="1" applyBorder="1" applyAlignment="1">
      <alignment horizontal="center"/>
    </xf>
  </cellXfs>
  <cellStyles count="74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6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00B050"/>
      </font>
    </dxf>
    <dxf>
      <fill>
        <patternFill patternType="solid">
          <bgColor rgb="FFFFA3A3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z val="14"/>
      </font>
      <numFmt numFmtId="167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z val="1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/>
        <strike val="0"/>
        <outline val="0"/>
        <shadow val="0"/>
        <u val="none"/>
        <vertAlign val="baseline"/>
        <sz val="8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72" formatCode="_ * #,##0.00_ ;_ * \(#,##0.00\)_ ;_ * &quot;-&quot;??_ ;_ @_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171" formatCode="0.0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_ * #,##0.00_ ;_ * \-#,##0.00_ ;_ * &quot;-&quot;??_ ;_ @_ 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14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35521</xdr:rowOff>
    </xdr:from>
    <xdr:ext cx="2931379" cy="345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𝑷𝒓𝒊𝒄𝒆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𝑨𝒅𝒋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𝒇𝒂𝒄𝒕𝒐𝒓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𝑨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𝒃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𝑳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𝒄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𝑴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  <m:r>
                      <a:rPr lang="en-US" sz="1100" b="1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1" i="1">
                        <a:latin typeface="Cambria Math" panose="02040503050406030204" pitchFamily="18" charset="0"/>
                      </a:rPr>
                      <m:t>𝒅</m:t>
                    </m:r>
                    <m:f>
                      <m:fPr>
                        <m:ctrlPr>
                          <a:rPr lang="en-US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𝑬</m:t>
                            </m:r>
                          </m:e>
                          <m:sub>
                            <m:r>
                              <a:rPr lang="en-US" sz="1100" b="1" i="1">
                                <a:latin typeface="Cambria Math" panose="02040503050406030204" pitchFamily="18" charset="0"/>
                              </a:rPr>
                              <m:t>𝒐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 b="1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769571"/>
              <a:ext cx="2931379" cy="345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1" i="0">
                  <a:latin typeface="Cambria Math" panose="02040503050406030204" pitchFamily="18" charset="0"/>
                </a:rPr>
                <a:t>∗𝑷𝒓𝒊𝒄𝒆 𝑨𝒅𝒋. 𝒇𝒂𝒄𝒕𝒐𝒓 =𝑨+𝒃 𝑳_𝒏/𝑳_𝒐 +𝒄 𝑴_𝒏/𝑴_𝒐 +𝒅 𝑬_𝒏/𝑬_𝒐 </a:t>
              </a:r>
              <a:endParaRPr lang="en-GB" sz="1100" b="1"/>
            </a:p>
          </xdr:txBody>
        </xdr:sp>
      </mc:Fallback>
    </mc:AlternateContent>
    <xdr:clientData/>
  </xdr:oneCellAnchor>
  <xdr:twoCellAnchor>
    <xdr:from>
      <xdr:col>5</xdr:col>
      <xdr:colOff>981075</xdr:colOff>
      <xdr:row>8</xdr:row>
      <xdr:rowOff>57150</xdr:rowOff>
    </xdr:from>
    <xdr:to>
      <xdr:col>14</xdr:col>
      <xdr:colOff>66675</xdr:colOff>
      <xdr:row>13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FF6CCD7-E47A-4B87-83B6-9D45AF463D85}"/>
            </a:ext>
          </a:extLst>
        </xdr:cNvPr>
        <xdr:cNvSpPr/>
      </xdr:nvSpPr>
      <xdr:spPr>
        <a:xfrm>
          <a:off x="5553075" y="1933575"/>
          <a:ext cx="6353175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pcTable" displayName="ipcTable" ref="A19:N23" totalsRowCount="1" headerRowDxfId="64" dataDxfId="62" totalsRowDxfId="60" headerRowBorderDxfId="63" tableBorderDxfId="61" totalsRowBorderDxfId="59">
  <tableColumns count="14">
    <tableColumn id="1" xr3:uid="{00000000-0010-0000-0000-000001000000}" name="IPC No." dataDxfId="58" totalsRowDxfId="13"/>
    <tableColumn id="2" xr3:uid="{00000000-0010-0000-0000-000002000000}" name="IPC Submission_x000a_Date" dataDxfId="57" totalsRowDxfId="12"/>
    <tableColumn id="8" xr3:uid="{00000000-0010-0000-0000-000008000000}" name="30 days prior to IPC Submission Date" dataDxfId="56" totalsRowDxfId="11">
      <calculatedColumnFormula array="1">ad2bs(BS2AD(ipcTable[[#This Row],[IPC Submission
Date]])-30)</calculatedColumnFormula>
    </tableColumn>
    <tableColumn id="7" xr3:uid="{00000000-0010-0000-0000-000007000000}" name="AD Date" dataDxfId="55" totalsRowDxfId="10">
      <calculatedColumnFormula array="1">BS2AD(ipcTable[[#This Row],[30 days prior to IPC Submission Date]])</calculatedColumnFormula>
    </tableColumn>
    <tableColumn id="14" xr3:uid="{00000000-0010-0000-0000-00000E000000}" name="Month" dataDxfId="54" totalsRowDxfId="9">
      <calculatedColumnFormula array="1">CONCATENATE(LEFT(BSnrb(ipcTable[[#This Row],[30 days prior to IPC Submission Date]],"qtr"),5),VLOOKUP(BSnrb(ipcTable[[#This Row],[30 days prior to IPC Submission Date]],"qtr"),indexTable[],2))</calculatedColumnFormula>
    </tableColumn>
    <tableColumn id="10" xr3:uid="{00000000-0010-0000-0000-00000A000000}" name="IPC Amount" totalsRowFunction="sum" dataDxfId="53" totalsRowDxfId="8" dataCellStyle="Comma"/>
    <tableColumn id="13" xr3:uid="{00000000-0010-0000-0000-00000D000000}" name="Deduction for PS / Other" totalsRowFunction="sum" dataDxfId="52" totalsRowDxfId="7" dataCellStyle="Comma"/>
    <tableColumn id="11" xr3:uid="{00000000-0010-0000-0000-00000B000000}" name="IPC Amount_x000a_for Price Adj." totalsRowFunction="sum" dataDxfId="51" totalsRowDxfId="6" dataCellStyle="Comma">
      <calculatedColumnFormula>ipcTable[[#This Row],[IPC Amount]]-ipcTable[[#This Row],[Deduction for PS / Other]]</calculatedColumnFormula>
    </tableColumn>
    <tableColumn id="3" xr3:uid="{00000000-0010-0000-0000-000003000000}" name="Ln" dataDxfId="50" totalsRowDxfId="5">
      <calculatedColumnFormula array="1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calculatedColumnFormula>
    </tableColumn>
    <tableColumn id="4" xr3:uid="{00000000-0010-0000-0000-000004000000}" name="Mn" dataDxfId="49" totalsRowDxfId="4">
      <calculatedColumnFormula array="1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calculatedColumnFormula>
    </tableColumn>
    <tableColumn id="5" xr3:uid="{00000000-0010-0000-0000-000005000000}" name="En" dataDxfId="48" totalsRowDxfId="3">
      <calculatedColumnFormula array="1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calculatedColumnFormula>
    </tableColumn>
    <tableColumn id="6" xr3:uid="{00000000-0010-0000-0000-000006000000}" name="*Price Adj._x000a_factor" totalsRowLabel="TOTAL" dataDxfId="47" totalsRowDxfId="2">
      <calculatedColumnFormula>a+
b*ipcTable[[#This Row],[Ln]]/lo+
c_*ipcTable[[#This Row],[Mn]]/mo+
d*ipcTable[[#This Row],[En]]/no</calculatedColumnFormula>
    </tableColumn>
    <tableColumn id="9" xr3:uid="{00000000-0010-0000-0000-000009000000}" name="Net Price Adj._x000a_Amount" totalsRowFunction="sum" dataDxfId="46" totalsRowDxfId="1" dataCellStyle="Comma">
      <calculatedColumnFormula>ROUND((ipcTable[[#This Row],[*Price Adj.
factor]]-1) * ipcTable[[#This Row],[IPC Amount
for Price Adj.]],2)</calculatedColumnFormula>
    </tableColumn>
    <tableColumn id="12" xr3:uid="{00000000-0010-0000-0000-00000C000000}" name="Remarks" dataDxfId="45" totalsRowDxfId="0">
      <calculatedColumnFormula array="1">IF(VLOOKUP(BSnrb(ipcTable[[#This Row],[IPC Submission
Date]],"qtr"),indexTable[],7,FALSE)="","",VLOOKUP(BSnrb(ipcTable[[#This Row],[IPC Submission
Date]],"qtr"),indexTable[],7,FALSE))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44" headerRowBorderDxfId="43" tableBorderDxfId="42" totalsRowBorderDxfId="41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40"/>
    <tableColumn id="2" xr3:uid="{00000000-0010-0000-0100-000002000000}" name="Actual Date_x000a_of Completion" dataDxfId="39"/>
    <tableColumn id="6" xr3:uid="{00000000-0010-0000-0100-000006000000}" name="AD Date" dataDxfId="38">
      <calculatedColumnFormula array="1">BS2AD(projectTable[[#This Row],[Actual Date
of Completion]])</calculatedColumnFormula>
    </tableColumn>
    <tableColumn id="7" xr3:uid="{00000000-0010-0000-0100-000007000000}" name="Month" dataDxfId="37">
      <calculatedColumnFormula array="1">CONCATENATE(LEFT(BSnrb(projectTable[[#This Row],[Actual Date
of Completion]],"qtr"),5),VLOOKUP(BSnrb(projectTable[[#This Row],[Actual Date
of Completion]],"qtr"),indexTable[],2,FALSE))</calculatedColumnFormula>
    </tableColumn>
    <tableColumn id="3" xr3:uid="{00000000-0010-0000-0100-000003000000}" name="National Wholesale_x000a_Price Index (overall)" dataDxfId="36">
      <calculatedColumnFormula>BSnrb(projectTable[[#This Row],[Actual Date
of Completion]],"o")</calculatedColumnFormula>
    </tableColumn>
    <tableColumn id="4" xr3:uid="{00000000-0010-0000-0100-000004000000}" name="Amount Paid on_x000a_Completion (w/o VAT)" dataDxfId="35" dataCellStyle="Comma"/>
    <tableColumn id="8" xr3:uid="{EC6B288E-964C-4F28-BF5D-D5D2B9E69E1C}" name="Multplying Factor" dataDxfId="34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33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exTable" displayName="indexTable" ref="A1:G165" totalsRowShown="0" headerRowDxfId="20">
  <autoFilter ref="A1:G165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0000000-0010-0000-0200-000001000000}" name="SN" dataDxfId="19"/>
    <tableColumn id="2" xr3:uid="{00000000-0010-0000-0200-000002000000}" name="Date"/>
    <tableColumn id="3" xr3:uid="{00000000-0010-0000-0200-000003000000}" name="Labour" dataDxfId="18"/>
    <tableColumn id="4" xr3:uid="{00000000-0010-0000-0200-000004000000}" name="Material" dataDxfId="17"/>
    <tableColumn id="5" xr3:uid="{00000000-0010-0000-0200-000005000000}" name="Equipment" dataDxfId="16"/>
    <tableColumn id="6" xr3:uid="{00000000-0010-0000-0200-000006000000}" name="Overall" dataDxfId="15"/>
    <tableColumn id="7" xr3:uid="{2143F44C-1733-4E6A-B31A-BB0A99F4134A}" name="Remarks" dataDxfId="1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AN100"/>
  <sheetViews>
    <sheetView showGridLines="0" tabSelected="1" zoomScaleNormal="100" zoomScaleSheetLayoutView="85" workbookViewId="0">
      <selection activeCell="B5" sqref="B5:N5"/>
    </sheetView>
  </sheetViews>
  <sheetFormatPr defaultColWidth="12.42578125" defaultRowHeight="15"/>
  <cols>
    <col min="1" max="1" width="15.28515625" style="25" bestFit="1" customWidth="1"/>
    <col min="2" max="2" width="16.28515625" style="25" customWidth="1"/>
    <col min="3" max="3" width="12.85546875" style="25" bestFit="1" customWidth="1"/>
    <col min="4" max="4" width="10.7109375" style="25" bestFit="1" customWidth="1"/>
    <col min="5" max="5" width="13.42578125" style="25" bestFit="1" customWidth="1"/>
    <col min="6" max="6" width="15.28515625" style="25" bestFit="1" customWidth="1"/>
    <col min="7" max="7" width="17" style="25" bestFit="1" customWidth="1"/>
    <col min="8" max="8" width="15.42578125" style="25" customWidth="1"/>
    <col min="9" max="9" width="10.85546875" style="25" customWidth="1"/>
    <col min="10" max="11" width="6.5703125" style="24" bestFit="1" customWidth="1"/>
    <col min="12" max="12" width="13.7109375" style="24" bestFit="1" customWidth="1"/>
    <col min="13" max="13" width="15" style="44" bestFit="1" customWidth="1"/>
    <col min="14" max="14" width="8.5703125" style="24" bestFit="1" customWidth="1"/>
    <col min="15" max="15" width="10.42578125" style="24" bestFit="1" customWidth="1"/>
    <col min="16" max="36" width="12.42578125" style="24"/>
    <col min="37" max="16384" width="12.42578125" style="25"/>
  </cols>
  <sheetData>
    <row r="1" spans="1:40">
      <c r="A1" s="90"/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3" spans="1:40" ht="23.25">
      <c r="A3" s="91" t="s">
        <v>69</v>
      </c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</row>
    <row r="4" spans="1:40" ht="18.75">
      <c r="A4" s="95" t="s">
        <v>113</v>
      </c>
      <c r="B4" s="95"/>
      <c r="C4" s="95"/>
      <c r="D4" s="95"/>
      <c r="E4" s="95"/>
      <c r="F4" s="95"/>
      <c r="G4" s="95"/>
      <c r="H4" s="95"/>
      <c r="I4" s="95"/>
      <c r="J4" s="95"/>
      <c r="K4" s="95"/>
      <c r="L4" s="95"/>
      <c r="M4" s="95"/>
      <c r="N4" s="95"/>
    </row>
    <row r="5" spans="1:40">
      <c r="A5" s="26" t="s">
        <v>98</v>
      </c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</row>
    <row r="6" spans="1:40">
      <c r="A6" s="26" t="s">
        <v>68</v>
      </c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</row>
    <row r="7" spans="1:40">
      <c r="A7" s="26" t="s">
        <v>44</v>
      </c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3"/>
    </row>
    <row r="8" spans="1:40" ht="30.75" customHeight="1">
      <c r="A8" s="27" t="s">
        <v>43</v>
      </c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</row>
    <row r="9" spans="1:40">
      <c r="A9" s="26"/>
      <c r="B9" s="26"/>
    </row>
    <row r="10" spans="1:40" ht="33" customHeight="1">
      <c r="A10" s="103" t="s">
        <v>101</v>
      </c>
      <c r="B10" s="107" t="s">
        <v>78</v>
      </c>
      <c r="C10" s="104" t="s">
        <v>79</v>
      </c>
      <c r="D10" s="105"/>
      <c r="E10" s="106"/>
      <c r="G10" s="107" t="s">
        <v>81</v>
      </c>
      <c r="H10" s="107" t="s">
        <v>80</v>
      </c>
      <c r="I10" s="107" t="s">
        <v>70</v>
      </c>
      <c r="J10" s="109" t="s">
        <v>74</v>
      </c>
      <c r="K10" s="110"/>
      <c r="L10" s="98" t="s">
        <v>82</v>
      </c>
      <c r="M10" s="99"/>
      <c r="N10" s="100"/>
      <c r="P10" s="44"/>
      <c r="AK10" s="24"/>
      <c r="AL10" s="24"/>
      <c r="AM10" s="24"/>
      <c r="AN10" s="24"/>
    </row>
    <row r="11" spans="1:40" ht="18">
      <c r="A11" s="103"/>
      <c r="B11" s="108"/>
      <c r="C11" s="74" t="s">
        <v>87</v>
      </c>
      <c r="D11" s="74" t="s">
        <v>88</v>
      </c>
      <c r="E11" s="74" t="s">
        <v>89</v>
      </c>
      <c r="F11" s="28"/>
      <c r="G11" s="108"/>
      <c r="H11" s="108"/>
      <c r="I11" s="108"/>
      <c r="J11" s="111"/>
      <c r="K11" s="112"/>
      <c r="L11" s="80" t="s">
        <v>95</v>
      </c>
      <c r="M11" s="80" t="s">
        <v>96</v>
      </c>
      <c r="N11" s="80" t="s">
        <v>97</v>
      </c>
      <c r="P11" s="44"/>
      <c r="AK11" s="24"/>
      <c r="AL11" s="24"/>
      <c r="AM11" s="24"/>
      <c r="AN11" s="24"/>
    </row>
    <row r="12" spans="1:40">
      <c r="A12" s="40" t="s">
        <v>102</v>
      </c>
      <c r="B12" s="37" t="str" cm="1">
        <f t="array" ref="B12">ad2bs(BS2AD(A12)-30)</f>
        <v>2077-12-2</v>
      </c>
      <c r="C12" s="29">
        <f>BSnrb($B$12,"l")</f>
        <v>514.52547814384309</v>
      </c>
      <c r="D12" s="29">
        <f>BSnrb($B$12,"m")</f>
        <v>108.20650000000001</v>
      </c>
      <c r="E12" s="29">
        <f>BSnrb($B$12,"n")</f>
        <v>113.512</v>
      </c>
      <c r="F12" s="30"/>
      <c r="G12" s="52" t="s">
        <v>104</v>
      </c>
      <c r="H12" s="52"/>
      <c r="I12" s="79" t="e" cm="1">
        <f t="array" ref="I12">BS2AD(intendedCompletionDate)</f>
        <v>#VALUE!</v>
      </c>
      <c r="J12" s="96" t="e" cm="1">
        <f t="array" ref="J12">IF(VALUE(I12)&gt;VALUE(LEFT(MAX(indexTable[SN]),4)&amp;"-"&amp;MID(MAX(indexTable[SN]),6,2)&amp;"-15"),"N/A",CONCATENATE(LEFT(BSnrb(intendedCompletionDate,"qtr"),5),VLOOKUP(BSnrb(intendedCompletionDate,"qtr"),indexTable[],2)))</f>
        <v>#VALUE!</v>
      </c>
      <c r="K12" s="97"/>
      <c r="L12" s="81" t="e" cm="1">
        <f t="array" ref="L12">IF(VALUE(I12)&gt;VALUE(LEFT(MAX(indexTable[SN]),4)&amp;"-"&amp;MID(MAX(indexTable[SN]),6,2)&amp;"-15"),"N/A",BSnrb(intendedCompletionDate,"l"))</f>
        <v>#VALUE!</v>
      </c>
      <c r="M12" s="81" t="e" cm="1">
        <f t="array" ref="M12">IF(VALUE(I12)&gt;VALUE(LEFT(MAX(indexTable[SN]),4)&amp;"-"&amp;MID(MAX(indexTable[SN]),6,2)&amp;"-15"),"N/A",BSnrb(intendedCompletionDate,"m"))</f>
        <v>#VALUE!</v>
      </c>
      <c r="N12" s="81" t="e" cm="1">
        <f t="array" ref="N12">IF(VALUE(I12)&gt;VALUE(LEFT(MAX(indexTable[SN]),4)&amp;"-"&amp;MID(MAX(indexTable[SN]),6,2)&amp;"-15"),"N/A",BSnrb(intendedCompletionDate,"n"))</f>
        <v>#VALUE!</v>
      </c>
      <c r="P12" s="44"/>
      <c r="AK12" s="24"/>
      <c r="AL12" s="24"/>
      <c r="AM12" s="24"/>
      <c r="AN12" s="24"/>
    </row>
    <row r="13" spans="1:40">
      <c r="A13" s="43" t="str" cm="1">
        <f t="array" ref="A13">CONCATENATE("(",BS2AD(A12)," AD)")</f>
        <v>(2021-4-14 AD)</v>
      </c>
      <c r="B13" s="43" t="str" cm="1">
        <f t="array" ref="B13">CONCATENATE("(",BS2AD(B12)," AD)")</f>
        <v>(2021-3-15 AD)</v>
      </c>
      <c r="G13" s="43" t="str" cm="1">
        <f t="array" ref="G13">CONCATENATE("(",BS2AD(G12)," AD)")</f>
        <v>(2021-5-15 AD)</v>
      </c>
      <c r="I13" s="39"/>
    </row>
    <row r="14" spans="1:40">
      <c r="A14" s="31"/>
      <c r="B14" s="43" t="str" cm="1">
        <f t="array" ref="B14">CONCATENATE("(",CONCATENATE(LEFT(BSnrb(B12,"qtr"),5),VLOOKUP(BSnrb(B12,"qtr"),indexTable[],2)),")")</f>
        <v>(2021.Feb/Mar)</v>
      </c>
    </row>
    <row r="15" spans="1:40">
      <c r="A15" s="101" t="s">
        <v>45</v>
      </c>
      <c r="B15" s="101"/>
      <c r="C15" s="101"/>
      <c r="D15" s="101"/>
      <c r="E15" s="101"/>
      <c r="M15"/>
      <c r="O15" s="76"/>
    </row>
    <row r="16" spans="1:40" ht="30">
      <c r="A16" s="33" t="s">
        <v>94</v>
      </c>
      <c r="B16" s="33" t="s">
        <v>51</v>
      </c>
      <c r="C16" s="33" t="s">
        <v>52</v>
      </c>
      <c r="D16" s="33" t="s">
        <v>53</v>
      </c>
      <c r="E16" s="3" t="s">
        <v>46</v>
      </c>
    </row>
    <row r="17" spans="1:40">
      <c r="A17" s="29">
        <v>0.15</v>
      </c>
      <c r="B17" s="21">
        <v>0.25</v>
      </c>
      <c r="C17" s="21">
        <v>0.35</v>
      </c>
      <c r="D17" s="21">
        <v>0.25</v>
      </c>
      <c r="E17" s="29">
        <f>SUM(A17:D17)</f>
        <v>1</v>
      </c>
    </row>
    <row r="18" spans="1:40" ht="40.5" customHeight="1">
      <c r="I18" s="102" t="s">
        <v>50</v>
      </c>
      <c r="J18" s="102"/>
      <c r="K18" s="102"/>
      <c r="L18" s="25"/>
      <c r="M18" s="25"/>
      <c r="O18" s="44"/>
      <c r="R18" s="78"/>
      <c r="AK18" s="24"/>
      <c r="AL18" s="24"/>
      <c r="AM18" s="24"/>
      <c r="AN18" s="24"/>
    </row>
    <row r="19" spans="1:40" ht="48">
      <c r="A19" s="57" t="s">
        <v>49</v>
      </c>
      <c r="B19" s="58" t="s">
        <v>100</v>
      </c>
      <c r="C19" s="59" t="s">
        <v>73</v>
      </c>
      <c r="D19" s="58" t="s">
        <v>70</v>
      </c>
      <c r="E19" s="58" t="s">
        <v>74</v>
      </c>
      <c r="F19" s="60" t="s">
        <v>54</v>
      </c>
      <c r="G19" s="61" t="s">
        <v>83</v>
      </c>
      <c r="H19" s="58" t="s">
        <v>55</v>
      </c>
      <c r="I19" s="74" t="s">
        <v>90</v>
      </c>
      <c r="J19" s="74" t="s">
        <v>91</v>
      </c>
      <c r="K19" s="74" t="s">
        <v>92</v>
      </c>
      <c r="L19" s="75" t="s">
        <v>93</v>
      </c>
      <c r="M19" s="55" t="s">
        <v>47</v>
      </c>
      <c r="N19" s="62" t="s">
        <v>76</v>
      </c>
      <c r="O19" s="44"/>
      <c r="AK19" s="24"/>
      <c r="AL19" s="24"/>
      <c r="AM19" s="24"/>
      <c r="AN19" s="24"/>
    </row>
    <row r="20" spans="1:40">
      <c r="A20" s="63">
        <v>1</v>
      </c>
      <c r="B20" s="56" t="s">
        <v>106</v>
      </c>
      <c r="C20" s="38" t="str" cm="1">
        <f t="array" ref="C20">ad2bs(BS2AD(ipcTable[[#This Row],[IPC Submission
Date]])-30)</f>
        <v>2078-2-2</v>
      </c>
      <c r="D20" s="77" t="str" cm="1">
        <f t="array" ref="D20">BS2AD(ipcTable[[#This Row],[30 days prior to IPC Submission Date]])</f>
        <v>2021-5-16</v>
      </c>
      <c r="E20" s="42" t="str" cm="1">
        <f t="array" ref="E20">CONCATENATE(LEFT(BSnrb(ipcTable[[#This Row],[30 days prior to IPC Submission Date]],"qtr"),5),VLOOKUP(BSnrb(ipcTable[[#This Row],[30 days prior to IPC Submission Date]],"qtr"),indexTable[],2))</f>
        <v>2021.May/Jun</v>
      </c>
      <c r="F20" s="51"/>
      <c r="G20" s="66"/>
      <c r="H20" s="50">
        <f>ipcTable[[#This Row],[IPC Amount]]-ipcTable[[#This Row],[Deduction for PS / Other]]</f>
        <v>0</v>
      </c>
      <c r="I20" s="29" cm="1">
        <f t="array" ref="I20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515.84706404692679</v>
      </c>
      <c r="J20" s="29" cm="1">
        <f t="array" ref="J20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111.89505</v>
      </c>
      <c r="K20" s="29" cm="1">
        <f t="array" ref="K20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113.68747</v>
      </c>
      <c r="L20" s="41">
        <f>a+
b*ipcTable[[#This Row],[Ln]]/lo+
c_*ipcTable[[#This Row],[Mn]]/mo+
d*ipcTable[[#This Row],[En]]/no</f>
        <v>1.0129594172461431</v>
      </c>
      <c r="M20" s="65">
        <f>ROUND((ipcTable[[#This Row],[*Price Adj.
factor]]-1) * ipcTable[[#This Row],[IPC Amount
for Price Adj.]],2)</f>
        <v>0</v>
      </c>
      <c r="N20" s="84" t="str" cm="1">
        <f t="array" ref="N20">IF(VLOOKUP(BSnrb(ipcTable[[#This Row],[IPC Submission
Date]],"qtr"),indexTable[],7,FALSE)="","",VLOOKUP(BSnrb(ipcTable[[#This Row],[IPC Submission
Date]],"qtr"),indexTable[],7,FALSE))</f>
        <v/>
      </c>
      <c r="O20" s="44"/>
      <c r="AK20" s="24"/>
      <c r="AL20" s="24"/>
      <c r="AM20" s="24"/>
      <c r="AN20" s="24"/>
    </row>
    <row r="21" spans="1:40">
      <c r="A21" s="63">
        <v>2</v>
      </c>
      <c r="B21" s="56" t="s">
        <v>107</v>
      </c>
      <c r="C21" s="38" t="str" cm="1">
        <f t="array" ref="C21">ad2bs(BS2AD(ipcTable[[#This Row],[IPC Submission
Date]])-30)</f>
        <v>2079-2-2</v>
      </c>
      <c r="D21" s="77" t="str" cm="1">
        <f t="array" ref="D21">BS2AD(ipcTable[[#This Row],[30 days prior to IPC Submission Date]])</f>
        <v>2022-5-16</v>
      </c>
      <c r="E21" s="42" t="str" cm="1">
        <f t="array" ref="E21">CONCATENATE(LEFT(BSnrb(ipcTable[[#This Row],[30 days prior to IPC Submission Date]],"qtr"),5),VLOOKUP(BSnrb(ipcTable[[#This Row],[30 days prior to IPC Submission Date]],"qtr"),indexTable[],2))</f>
        <v>2022.May/Jun</v>
      </c>
      <c r="F21" s="51"/>
      <c r="G21" s="66"/>
      <c r="H21" s="50">
        <f>ipcTable[[#This Row],[IPC Amount]]-ipcTable[[#This Row],[Deduction for PS / Other]]</f>
        <v>0</v>
      </c>
      <c r="I21" s="29" cm="1">
        <f t="array" ref="I21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541.81853276662503</v>
      </c>
      <c r="J21" s="29" cm="1">
        <f t="array" ref="J21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140.15342999999999</v>
      </c>
      <c r="K21" s="29" cm="1">
        <f t="array" ref="K21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124.46802</v>
      </c>
      <c r="L21" s="41">
        <f>a+
b*ipcTable[[#This Row],[Ln]]/lo+
c_*ipcTable[[#This Row],[Mn]]/mo+
d*ipcTable[[#This Row],[En]]/no</f>
        <v>1.1407250649850242</v>
      </c>
      <c r="M21" s="65">
        <f>ROUND((ipcTable[[#This Row],[*Price Adj.
factor]]-1) * ipcTable[[#This Row],[IPC Amount
for Price Adj.]],2)</f>
        <v>0</v>
      </c>
      <c r="N21" s="84" t="str" cm="1">
        <f t="array" ref="N21">IF(VLOOKUP(BSnrb(ipcTable[[#This Row],[IPC Submission
Date]],"qtr"),indexTable[],7,FALSE)="","",VLOOKUP(BSnrb(ipcTable[[#This Row],[IPC Submission
Date]],"qtr"),indexTable[],7,FALSE))</f>
        <v/>
      </c>
      <c r="O21" s="44"/>
      <c r="AK21" s="24"/>
      <c r="AL21" s="24"/>
      <c r="AM21" s="24"/>
      <c r="AN21" s="24"/>
    </row>
    <row r="22" spans="1:40">
      <c r="A22" s="63">
        <v>3</v>
      </c>
      <c r="B22" s="56" t="s">
        <v>108</v>
      </c>
      <c r="C22" s="38" t="str" cm="1">
        <f t="array" ref="C22">ad2bs(BS2AD(ipcTable[[#This Row],[IPC Submission
Date]])-30)</f>
        <v>2080-2-3</v>
      </c>
      <c r="D22" s="77" t="str" cm="1">
        <f t="array" ref="D22">BS2AD(ipcTable[[#This Row],[30 days prior to IPC Submission Date]])</f>
        <v>2023-5-17</v>
      </c>
      <c r="E22" s="42" t="str" cm="1">
        <f t="array" ref="E22">CONCATENATE(LEFT(BSnrb(ipcTable[[#This Row],[30 days prior to IPC Submission Date]],"qtr"),5),VLOOKUP(BSnrb(ipcTable[[#This Row],[30 days prior to IPC Submission Date]],"qtr"),indexTable[],2))</f>
        <v>2023.May/Jun</v>
      </c>
      <c r="F22" s="51"/>
      <c r="G22" s="66"/>
      <c r="H22" s="50">
        <f>ipcTable[[#This Row],[IPC Amount]]-ipcTable[[#This Row],[Deduction for PS / Other]]</f>
        <v>0</v>
      </c>
      <c r="I22" s="29" cm="1">
        <f t="array" ref="I22">IFERROR(
IF(VALUE(BS2AD(ipcTable[[#This Row],[30 days prior to IPC Submission Date]])) &lt; VALUE(BS2AD(intendedCompletionDate)),
BSnrb(ipcTable[[#This Row],[30 days prior to IPC Submission Date]],"l"),
BSnrb(intendedCompletionDate,"l")),
BSnrb(ipcTable[[#This Row],[30 days prior to IPC Submission Date]],"l"))</f>
        <v>587.12144851394805</v>
      </c>
      <c r="J22" s="29" cm="1">
        <f t="array" ref="J22">IFERROR(
IF(VALUE(BS2AD(ipcTable[[#This Row],[30 days prior to IPC Submission Date]])) &lt; VALUE(BS2AD(intendedCompletionDate)),
BSnrb(ipcTable[[#This Row],[30 days prior to IPC Submission Date]],"m"),
BSnrb(intendedCompletionDate,"m")),
BSnrb(ipcTable[[#This Row],[30 days prior to IPC Submission Date]],"m"))</f>
        <v>141.61176</v>
      </c>
      <c r="K22" s="29" cm="1">
        <f t="array" ref="K22">IFERROR(
IF(VALUE(BS2AD(ipcTable[[#This Row],[30 days prior to IPC Submission Date]])) &lt; VALUE(BS2AD(intendedCompletionDate)),
BSnrb(ipcTable[[#This Row],[30 days prior to IPC Submission Date]],"n"),
BSnrb(intendedCompletionDate,"n")),
BSnrb(ipcTable[[#This Row],[30 days prior to IPC Submission Date]],"n"))</f>
        <v>133.0308</v>
      </c>
      <c r="L22" s="41">
        <f>a+
b*ipcTable[[#This Row],[Ln]]/lo+
c_*ipcTable[[#This Row],[Mn]]/mo+
d*ipcTable[[#This Row],[En]]/no</f>
        <v>1.1863128588324505</v>
      </c>
      <c r="M22" s="65">
        <f>ROUND((ipcTable[[#This Row],[*Price Adj.
factor]]-1) * ipcTable[[#This Row],[IPC Amount
for Price Adj.]],2)</f>
        <v>0</v>
      </c>
      <c r="N22" s="84" t="str" cm="1">
        <f t="array" ref="N22">IF(VLOOKUP(BSnrb(ipcTable[[#This Row],[IPC Submission
Date]],"qtr"),indexTable[],7,FALSE)="","",VLOOKUP(BSnrb(ipcTable[[#This Row],[IPC Submission
Date]],"qtr"),indexTable[],7,FALSE))</f>
        <v>provisional</v>
      </c>
      <c r="O22" s="44"/>
      <c r="AK22" s="24"/>
      <c r="AL22" s="24"/>
    </row>
    <row r="23" spans="1:40">
      <c r="A23" s="34"/>
      <c r="B23" s="34"/>
      <c r="C23" s="34"/>
      <c r="D23" s="67"/>
      <c r="E23" s="67"/>
      <c r="F23" s="36">
        <f>SUBTOTAL(109,ipcTable[IPC Amount])</f>
        <v>0</v>
      </c>
      <c r="G23" s="73">
        <f>SUBTOTAL(109,ipcTable[Deduction for PS / Other])</f>
        <v>0</v>
      </c>
      <c r="H23" s="34">
        <f>SUBTOTAL(109,ipcTable[IPC Amount
for Price Adj.])</f>
        <v>0</v>
      </c>
      <c r="I23" s="34"/>
      <c r="J23" s="34"/>
      <c r="K23" s="34"/>
      <c r="L23" s="35" t="s">
        <v>46</v>
      </c>
      <c r="M23" s="68">
        <f>SUBTOTAL(109,ipcTable[Net Price Adj.
Amount])</f>
        <v>0</v>
      </c>
      <c r="N23" s="69"/>
    </row>
    <row r="24" spans="1:40">
      <c r="A24" s="34"/>
      <c r="B24" s="34"/>
      <c r="C24" s="34"/>
      <c r="D24" s="67"/>
      <c r="E24" s="67"/>
      <c r="F24" s="36"/>
      <c r="G24" s="73"/>
      <c r="H24" s="34"/>
      <c r="I24" s="34"/>
      <c r="J24" s="34"/>
      <c r="K24" s="34"/>
      <c r="L24" s="89" t="s">
        <v>114</v>
      </c>
      <c r="M24" s="73">
        <v>0</v>
      </c>
      <c r="N24" s="69"/>
    </row>
    <row r="25" spans="1:40">
      <c r="A25" s="34"/>
      <c r="B25" s="34"/>
      <c r="C25" s="34"/>
      <c r="D25" s="67"/>
      <c r="E25" s="67"/>
      <c r="F25" s="36"/>
      <c r="G25" s="73"/>
      <c r="H25" s="34"/>
      <c r="I25" s="34"/>
      <c r="J25" s="34"/>
      <c r="K25" s="34"/>
      <c r="L25" s="35" t="s">
        <v>115</v>
      </c>
      <c r="M25" s="34">
        <f>ipcTable[[#Totals],[Net Price Adj.
Amount]]-M24</f>
        <v>0</v>
      </c>
      <c r="N25" s="69"/>
    </row>
    <row r="26" spans="1:40" ht="15.75" thickBot="1">
      <c r="A26" s="53" t="s">
        <v>71</v>
      </c>
      <c r="B26" s="53"/>
      <c r="C26" s="34"/>
      <c r="D26" s="34"/>
      <c r="E26" s="34"/>
      <c r="F26" s="34"/>
      <c r="G26" s="34"/>
      <c r="H26" s="34"/>
      <c r="I26" s="34"/>
      <c r="J26" s="34"/>
      <c r="K26" s="34"/>
      <c r="L26" s="82" t="s">
        <v>56</v>
      </c>
      <c r="M26" s="83">
        <f>ROUND(Remaining*13%,2)</f>
        <v>0</v>
      </c>
    </row>
    <row r="27" spans="1:40" ht="15.75" thickTop="1">
      <c r="A27" s="54" t="s">
        <v>109</v>
      </c>
      <c r="B27" s="54"/>
      <c r="C27" s="34"/>
      <c r="D27" s="34"/>
      <c r="E27" s="34"/>
      <c r="F27" s="34"/>
      <c r="G27" s="34"/>
      <c r="H27" s="34"/>
      <c r="I27" s="34"/>
      <c r="J27" s="34"/>
      <c r="K27" s="34"/>
      <c r="L27" s="35" t="s">
        <v>57</v>
      </c>
      <c r="M27" s="34">
        <f>Remaining+VAT</f>
        <v>0</v>
      </c>
    </row>
    <row r="28" spans="1:40">
      <c r="A28" s="54" t="s">
        <v>110</v>
      </c>
      <c r="B28" s="54"/>
      <c r="C28" s="53"/>
      <c r="D28" s="53"/>
      <c r="E28" s="53"/>
      <c r="F28" s="53"/>
      <c r="G28" s="53"/>
      <c r="H28" s="53"/>
      <c r="I28" s="53"/>
      <c r="J28" s="53"/>
    </row>
    <row r="29" spans="1:40">
      <c r="A29" s="87" t="s">
        <v>111</v>
      </c>
      <c r="C29" s="54"/>
      <c r="D29" s="54"/>
      <c r="E29" s="54"/>
      <c r="F29" s="54"/>
      <c r="G29" s="54"/>
      <c r="H29" s="54"/>
      <c r="I29" s="54"/>
      <c r="J29" s="54"/>
    </row>
    <row r="30" spans="1:40">
      <c r="C30" s="54"/>
      <c r="D30" s="54"/>
      <c r="E30" s="54"/>
      <c r="F30" s="54"/>
      <c r="G30" s="54"/>
      <c r="H30" s="54"/>
      <c r="I30" s="54"/>
      <c r="J30" s="54"/>
    </row>
    <row r="31" spans="1:40" ht="28.5">
      <c r="A31" s="88" t="s">
        <v>72</v>
      </c>
      <c r="B31" s="88"/>
    </row>
    <row r="32" spans="1:40">
      <c r="A32" s="85" t="s">
        <v>105</v>
      </c>
      <c r="B32" s="86">
        <f>MAX(indexTable[SN])</f>
        <v>2023.08</v>
      </c>
    </row>
    <row r="33" spans="3:9" ht="28.5">
      <c r="C33" s="88"/>
      <c r="D33" s="88"/>
      <c r="E33" s="88"/>
      <c r="F33" s="88"/>
      <c r="G33" s="88"/>
      <c r="H33" s="88"/>
      <c r="I33" s="88"/>
    </row>
    <row r="37" spans="3:9">
      <c r="F37" s="64"/>
      <c r="G37" s="64"/>
      <c r="H37" s="64"/>
    </row>
    <row r="38" spans="3:9">
      <c r="F38" s="64"/>
      <c r="G38" s="64"/>
      <c r="H38" s="64"/>
    </row>
    <row r="39" spans="3:9">
      <c r="F39" s="64"/>
      <c r="G39" s="64"/>
      <c r="H39" s="64"/>
    </row>
    <row r="40" spans="3:9">
      <c r="F40" s="64"/>
      <c r="G40" s="64"/>
      <c r="H40" s="64"/>
    </row>
    <row r="41" spans="3:9">
      <c r="F41" s="64"/>
      <c r="G41" s="64"/>
      <c r="H41" s="64"/>
    </row>
    <row r="42" spans="3:9">
      <c r="F42" s="64"/>
      <c r="G42" s="64"/>
      <c r="H42" s="64"/>
    </row>
    <row r="43" spans="3:9">
      <c r="F43" s="64"/>
      <c r="G43" s="64"/>
      <c r="H43" s="64"/>
    </row>
    <row r="97" spans="1:2">
      <c r="A97" s="32"/>
    </row>
    <row r="99" spans="1:2">
      <c r="B99" s="32"/>
    </row>
    <row r="100" spans="1:2">
      <c r="B100" s="32"/>
    </row>
  </sheetData>
  <mergeCells count="18">
    <mergeCell ref="J12:K12"/>
    <mergeCell ref="L10:N10"/>
    <mergeCell ref="B6:N6"/>
    <mergeCell ref="A15:E15"/>
    <mergeCell ref="I18:K18"/>
    <mergeCell ref="A10:A11"/>
    <mergeCell ref="C10:E10"/>
    <mergeCell ref="B10:B11"/>
    <mergeCell ref="J10:K11"/>
    <mergeCell ref="G10:G11"/>
    <mergeCell ref="H10:H11"/>
    <mergeCell ref="I10:I11"/>
    <mergeCell ref="A1:N1"/>
    <mergeCell ref="A3:N3"/>
    <mergeCell ref="B5:N5"/>
    <mergeCell ref="B7:N7"/>
    <mergeCell ref="B8:N8"/>
    <mergeCell ref="A4:N4"/>
  </mergeCells>
  <conditionalFormatting sqref="M20:M27">
    <cfRule type="cellIs" dxfId="65" priority="2" operator="lessThan">
      <formula>0</formula>
    </cfRule>
  </conditionalFormatting>
  <printOptions horizontalCentered="1"/>
  <pageMargins left="0.25" right="0.25" top="0.5" bottom="0.5" header="0.3" footer="0.3"/>
  <pageSetup paperSize="9" scale="80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J9"/>
  <sheetViews>
    <sheetView showGridLines="0" zoomScaleNormal="100" zoomScaleSheetLayoutView="100" workbookViewId="0">
      <selection activeCell="B5" sqref="B5"/>
    </sheetView>
  </sheetViews>
  <sheetFormatPr defaultRowHeight="15"/>
  <cols>
    <col min="1" max="1" width="47.5703125" customWidth="1"/>
    <col min="2" max="2" width="17.5703125" bestFit="1" customWidth="1"/>
    <col min="3" max="3" width="19.7109375" bestFit="1" customWidth="1"/>
    <col min="4" max="4" width="18.5703125" bestFit="1" customWidth="1"/>
    <col min="5" max="5" width="20.85546875" customWidth="1"/>
    <col min="6" max="6" width="20.42578125" customWidth="1"/>
    <col min="7" max="7" width="14.42578125" bestFit="1" customWidth="1"/>
    <col min="8" max="8" width="19.85546875" bestFit="1" customWidth="1"/>
  </cols>
  <sheetData>
    <row r="1" spans="1:36" s="1" customFormat="1" ht="36">
      <c r="A1" s="113" t="s">
        <v>99</v>
      </c>
      <c r="B1" s="113"/>
      <c r="C1" s="113"/>
      <c r="D1" s="113"/>
      <c r="E1" s="113"/>
      <c r="F1" s="113"/>
      <c r="G1" s="113"/>
      <c r="H1" s="113"/>
      <c r="I1" s="8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</row>
    <row r="2" spans="1:36" s="1" customFormat="1" ht="36.75" customHeight="1">
      <c r="A2" s="10"/>
      <c r="B2" s="10"/>
      <c r="C2" s="10"/>
      <c r="D2" s="10"/>
      <c r="E2" s="10"/>
      <c r="F2" s="2"/>
      <c r="G2" s="2"/>
      <c r="H2" s="2"/>
      <c r="I2" s="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</row>
    <row r="3" spans="1:36" ht="18.75">
      <c r="A3" s="11" t="s">
        <v>59</v>
      </c>
      <c r="B3" s="47" t="str">
        <f ca="1">ad2bs(TODAY())</f>
        <v>2080-6-15</v>
      </c>
      <c r="C3" s="46" t="str" cm="1">
        <f t="array" aca="1" ref="C3" ca="1">CONCATENATE("(",BS2AD(presentDate)," AD)")</f>
        <v>(2023-10-2 AD)</v>
      </c>
      <c r="D3" s="9"/>
      <c r="E3" s="9"/>
    </row>
    <row r="4" spans="1:36" ht="18.75">
      <c r="A4" s="12" t="s">
        <v>75</v>
      </c>
      <c r="B4" s="13" t="str" cm="1">
        <f t="array" aca="1" ref="B4" ca="1">CONCATENATE(LEFT(BSnrb(presentDate,"qtr"),5),VLOOKUP(BSnrb(presentDate,"qtr"),indexTable[],2,FALSE))</f>
        <v>2023.Jul/Aug</v>
      </c>
      <c r="C4" s="9"/>
      <c r="D4" s="9"/>
      <c r="E4" s="9"/>
    </row>
    <row r="5" spans="1:36" ht="37.5">
      <c r="A5" s="12" t="s">
        <v>61</v>
      </c>
      <c r="B5" s="13">
        <f ca="1">BSnrb(presentDate,"o")</f>
        <v>150.10048</v>
      </c>
      <c r="C5" s="9"/>
      <c r="D5" s="9"/>
      <c r="E5" s="9"/>
    </row>
    <row r="6" spans="1:36" ht="18.75">
      <c r="A6" s="9"/>
      <c r="B6" s="9"/>
      <c r="C6" s="9"/>
      <c r="D6" s="9"/>
      <c r="E6" s="9"/>
    </row>
    <row r="7" spans="1:36" ht="75">
      <c r="A7" s="17" t="s">
        <v>60</v>
      </c>
      <c r="B7" s="18" t="s">
        <v>62</v>
      </c>
      <c r="C7" s="18" t="s">
        <v>70</v>
      </c>
      <c r="D7" s="18" t="s">
        <v>74</v>
      </c>
      <c r="E7" s="19" t="s">
        <v>63</v>
      </c>
      <c r="F7" s="19" t="s">
        <v>64</v>
      </c>
      <c r="G7" s="20" t="s">
        <v>84</v>
      </c>
      <c r="H7" s="20" t="s">
        <v>65</v>
      </c>
    </row>
    <row r="8" spans="1:36" ht="18.75">
      <c r="A8" s="22" t="s">
        <v>67</v>
      </c>
      <c r="B8" s="23" t="s">
        <v>66</v>
      </c>
      <c r="C8" s="45" t="str" cm="1">
        <f t="array" ref="C8">BS2AD(projectTable[[#This Row],[Actual Date
of Completion]])</f>
        <v>2018-4-14</v>
      </c>
      <c r="D8" s="45" t="str" cm="1">
        <f t="array" ref="D8">CONCATENATE(LEFT(BSnrb(projectTable[[#This Row],[Actual Date
of Completion]],"qtr"),5),VLOOKUP(BSnrb(projectTable[[#This Row],[Actual Date
of Completion]],"qtr"),indexTable[],2,FALSE))</f>
        <v>2018.Mar/Apr</v>
      </c>
      <c r="E8" s="14">
        <f>BSnrb(projectTable[[#This Row],[Actual Date
of Completion]],"o")</f>
        <v>100.45525221079566</v>
      </c>
      <c r="F8" s="15">
        <v>10000000</v>
      </c>
      <c r="G8" s="72">
        <f ca="1">presentIndex/projectTable[[#This Row],[National Wholesale
Price Index (overall)]]</f>
        <v>1.4942024104924709</v>
      </c>
      <c r="H8" s="16">
        <f ca="1">projectTable[[#This Row],[Amount Paid on
Completion (w/o VAT)]]*projectTable[[#This Row],[Multplying Factor]]</f>
        <v>14942024.104924709</v>
      </c>
    </row>
    <row r="9" spans="1:36" ht="18.75">
      <c r="A9" s="22" t="s">
        <v>85</v>
      </c>
      <c r="B9" s="23" t="s">
        <v>86</v>
      </c>
      <c r="C9" s="70" t="str" cm="1">
        <f t="array" ref="C9">BS2AD(projectTable[[#This Row],[Actual Date
of Completion]])</f>
        <v>2019-12-25</v>
      </c>
      <c r="D9" s="71" t="str" cm="1">
        <f t="array" ref="D9">CONCATENATE(LEFT(BSnrb(projectTable[[#This Row],[Actual Date
of Completion]],"qtr"),5),VLOOKUP(BSnrb(projectTable[[#This Row],[Actual Date
of Completion]],"qtr"),indexTable[],2,FALSE))</f>
        <v>2020.Dec/Jan</v>
      </c>
      <c r="E9" s="14">
        <f>BSnrb(projectTable[[#This Row],[Actual Date
of Completion]],"o")</f>
        <v>112.83998</v>
      </c>
      <c r="F9" s="15">
        <v>20000000</v>
      </c>
      <c r="G9" s="72">
        <f ca="1">presentIndex/projectTable[[#This Row],[National Wholesale
Price Index (overall)]]</f>
        <v>1.3302065455878316</v>
      </c>
      <c r="H9" s="16">
        <f ca="1">projectTable[[#This Row],[Amount Paid on
Completion (w/o VAT)]]*projectTable[[#This Row],[Multplying Factor]]</f>
        <v>26604130.911756631</v>
      </c>
    </row>
  </sheetData>
  <mergeCells count="1">
    <mergeCell ref="A1:H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FB08A-6E98-454B-9AE4-8A52AA4AB94C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R165"/>
  <sheetViews>
    <sheetView topLeftCell="A156" zoomScaleNormal="100" workbookViewId="0">
      <selection activeCell="G165" sqref="G165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.85546875" bestFit="1" customWidth="1"/>
    <col min="9" max="12" width="9.140625" style="49"/>
    <col min="13" max="13" width="9.140625" style="48"/>
    <col min="14" max="14" width="6.140625" bestFit="1" customWidth="1"/>
  </cols>
  <sheetData>
    <row r="1" spans="1:7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58</v>
      </c>
      <c r="G1" s="6" t="s">
        <v>76</v>
      </c>
    </row>
    <row r="2" spans="1:7">
      <c r="A2" s="5">
        <v>1999</v>
      </c>
      <c r="B2" t="s">
        <v>5</v>
      </c>
      <c r="C2" s="49"/>
      <c r="D2" s="49">
        <v>30.8</v>
      </c>
      <c r="E2" s="49">
        <v>39.1</v>
      </c>
      <c r="F2" s="49">
        <v>30.40408683893525</v>
      </c>
      <c r="G2" s="49"/>
    </row>
    <row r="3" spans="1:7">
      <c r="A3" s="5">
        <v>2000</v>
      </c>
      <c r="B3" t="s">
        <v>31</v>
      </c>
      <c r="C3" s="49"/>
      <c r="D3" s="49">
        <v>31.9</v>
      </c>
      <c r="E3" s="49">
        <v>40</v>
      </c>
      <c r="F3" s="49">
        <v>30.80609708889444</v>
      </c>
      <c r="G3" s="49"/>
    </row>
    <row r="4" spans="1:7">
      <c r="A4" s="5">
        <v>2001</v>
      </c>
      <c r="B4" t="s">
        <v>32</v>
      </c>
      <c r="C4" s="49"/>
      <c r="D4" s="49">
        <v>33.5</v>
      </c>
      <c r="E4" s="49">
        <v>39.799999999999997</v>
      </c>
      <c r="F4" s="49">
        <v>32.299114651615426</v>
      </c>
      <c r="G4" s="49"/>
    </row>
    <row r="5" spans="1:7">
      <c r="A5" s="5">
        <v>2002</v>
      </c>
      <c r="B5" t="s">
        <v>33</v>
      </c>
      <c r="C5" s="49"/>
      <c r="D5" s="49">
        <v>33.700000000000003</v>
      </c>
      <c r="E5" s="49">
        <v>39.799999999999997</v>
      </c>
      <c r="F5" s="49">
        <v>33.536310248435754</v>
      </c>
      <c r="G5" s="49"/>
    </row>
    <row r="6" spans="1:7">
      <c r="A6" s="5">
        <v>2003</v>
      </c>
      <c r="B6" t="s">
        <v>34</v>
      </c>
      <c r="C6" s="49"/>
      <c r="D6" s="49">
        <v>38.9</v>
      </c>
      <c r="E6" s="49">
        <v>42</v>
      </c>
      <c r="F6" s="49">
        <v>34.904150720044171</v>
      </c>
      <c r="G6" s="49"/>
    </row>
    <row r="7" spans="1:7">
      <c r="A7" s="5">
        <v>2004</v>
      </c>
      <c r="B7" t="s">
        <v>35</v>
      </c>
      <c r="C7" s="49">
        <v>100</v>
      </c>
      <c r="D7" s="49">
        <v>44.9</v>
      </c>
      <c r="E7" s="49">
        <v>46.2</v>
      </c>
      <c r="F7" s="49">
        <v>37.456720726569259</v>
      </c>
      <c r="G7" s="49"/>
    </row>
    <row r="8" spans="1:7">
      <c r="A8" s="5">
        <v>2005</v>
      </c>
      <c r="B8" t="s">
        <v>36</v>
      </c>
      <c r="C8" s="49">
        <v>101.3</v>
      </c>
      <c r="D8" s="49">
        <v>45.8</v>
      </c>
      <c r="E8" s="49">
        <v>49.3</v>
      </c>
      <c r="F8" s="49">
        <v>40.781894356022164</v>
      </c>
      <c r="G8" s="49"/>
    </row>
    <row r="9" spans="1:7">
      <c r="A9" s="5">
        <v>2006</v>
      </c>
      <c r="B9" t="s">
        <v>37</v>
      </c>
      <c r="C9" s="49">
        <v>109.1</v>
      </c>
      <c r="D9" s="49">
        <v>53</v>
      </c>
      <c r="E9" s="49">
        <v>50.8</v>
      </c>
      <c r="F9" s="49">
        <v>44.456753912476529</v>
      </c>
      <c r="G9" s="49"/>
    </row>
    <row r="10" spans="1:7">
      <c r="A10" s="5">
        <v>2007</v>
      </c>
      <c r="B10" t="s">
        <v>38</v>
      </c>
      <c r="C10" s="49">
        <v>120.2</v>
      </c>
      <c r="D10" s="49">
        <v>60.4</v>
      </c>
      <c r="E10" s="49">
        <v>55.4</v>
      </c>
      <c r="F10" s="49">
        <v>48.439113275770872</v>
      </c>
      <c r="G10" s="49"/>
    </row>
    <row r="11" spans="1:7">
      <c r="A11" s="5">
        <v>2008</v>
      </c>
      <c r="B11" t="s">
        <v>39</v>
      </c>
      <c r="C11" s="49">
        <v>138.6</v>
      </c>
      <c r="D11" s="49">
        <v>67</v>
      </c>
      <c r="E11" s="49">
        <v>66.599999999999994</v>
      </c>
      <c r="F11" s="49">
        <v>54.942143645253957</v>
      </c>
      <c r="G11" s="49"/>
    </row>
    <row r="12" spans="1:7">
      <c r="A12" s="5">
        <v>2009</v>
      </c>
      <c r="B12" t="s">
        <v>40</v>
      </c>
      <c r="C12" s="49">
        <v>156.6</v>
      </c>
      <c r="D12" s="49">
        <v>69.7</v>
      </c>
      <c r="E12" s="49">
        <v>65.099999999999994</v>
      </c>
      <c r="F12" s="49">
        <v>61.600653521973008</v>
      </c>
      <c r="G12" s="49"/>
    </row>
    <row r="13" spans="1:7">
      <c r="A13" s="5">
        <v>2010</v>
      </c>
      <c r="B13" t="s">
        <v>41</v>
      </c>
      <c r="C13" s="49">
        <v>189.9</v>
      </c>
      <c r="D13" s="49">
        <v>73.3</v>
      </c>
      <c r="E13" s="49">
        <v>68</v>
      </c>
      <c r="F13" s="49">
        <v>67.652474049928202</v>
      </c>
      <c r="G13" s="49"/>
    </row>
    <row r="14" spans="1:7">
      <c r="A14" s="5">
        <v>2011</v>
      </c>
      <c r="B14" t="s">
        <v>42</v>
      </c>
      <c r="C14" s="49">
        <v>250.3</v>
      </c>
      <c r="D14" s="49">
        <v>77.400000000000006</v>
      </c>
      <c r="E14" s="49">
        <v>75.599999999999994</v>
      </c>
      <c r="F14" s="49">
        <v>72.049973761253923</v>
      </c>
      <c r="G14" s="49"/>
    </row>
    <row r="15" spans="1:7">
      <c r="A15" s="5">
        <v>2012</v>
      </c>
      <c r="B15" t="s">
        <v>6</v>
      </c>
      <c r="C15" s="49">
        <v>268.10000000000002</v>
      </c>
      <c r="D15" s="49">
        <v>80.7</v>
      </c>
      <c r="E15" s="49">
        <v>77</v>
      </c>
      <c r="F15" s="49">
        <v>78.484789553478151</v>
      </c>
      <c r="G15" s="49"/>
    </row>
    <row r="16" spans="1:7">
      <c r="A16" s="5">
        <v>2013</v>
      </c>
      <c r="B16" t="s">
        <v>7</v>
      </c>
      <c r="C16" s="49">
        <v>285.89999999999998</v>
      </c>
      <c r="D16" s="49">
        <v>85.2</v>
      </c>
      <c r="E16" s="49">
        <v>75.900000000000006</v>
      </c>
      <c r="F16" s="49">
        <v>85.011963843581356</v>
      </c>
      <c r="G16" s="49"/>
    </row>
    <row r="17" spans="1:7">
      <c r="A17" s="5">
        <v>2014</v>
      </c>
      <c r="B17" t="s">
        <v>8</v>
      </c>
      <c r="C17" s="49">
        <v>322.89999999999998</v>
      </c>
      <c r="D17" s="49">
        <v>89</v>
      </c>
      <c r="E17" s="49">
        <v>76.400000000000006</v>
      </c>
      <c r="F17" s="49">
        <v>90.139635351887236</v>
      </c>
      <c r="G17" s="49"/>
    </row>
    <row r="18" spans="1:7">
      <c r="A18" s="5">
        <v>2015</v>
      </c>
      <c r="B18" t="s">
        <v>9</v>
      </c>
      <c r="C18" s="49">
        <v>354.1</v>
      </c>
      <c r="D18" s="49">
        <v>91.3</v>
      </c>
      <c r="E18" s="49">
        <v>82</v>
      </c>
      <c r="F18" s="49">
        <v>95.792244445884805</v>
      </c>
      <c r="G18" s="49"/>
    </row>
    <row r="19" spans="1:7">
      <c r="A19" s="5">
        <v>2016</v>
      </c>
      <c r="B19" t="s">
        <v>10</v>
      </c>
      <c r="C19" s="49">
        <v>405.7</v>
      </c>
      <c r="D19" s="49">
        <v>90.3</v>
      </c>
      <c r="E19" s="49">
        <v>97</v>
      </c>
      <c r="F19" s="49">
        <v>98.296530571895929</v>
      </c>
      <c r="G19" s="49"/>
    </row>
    <row r="20" spans="1:7">
      <c r="A20" s="4"/>
      <c r="B20" t="s">
        <v>11</v>
      </c>
      <c r="C20" s="49">
        <v>403.3</v>
      </c>
      <c r="D20" s="49">
        <v>88.4</v>
      </c>
      <c r="E20" s="49">
        <v>90.5</v>
      </c>
      <c r="F20" s="49">
        <v>97.5</v>
      </c>
      <c r="G20" s="49"/>
    </row>
    <row r="21" spans="1:7">
      <c r="A21" s="4">
        <v>2016.08</v>
      </c>
      <c r="B21" t="s">
        <v>12</v>
      </c>
      <c r="C21" s="49">
        <v>403.3</v>
      </c>
      <c r="D21" s="49">
        <v>88.8</v>
      </c>
      <c r="E21" s="49">
        <v>89.3</v>
      </c>
      <c r="F21" s="49">
        <v>98</v>
      </c>
      <c r="G21" s="49"/>
    </row>
    <row r="22" spans="1:7">
      <c r="A22" s="4">
        <v>2016.09</v>
      </c>
      <c r="B22" t="s">
        <v>13</v>
      </c>
      <c r="C22" s="49">
        <v>403.3</v>
      </c>
      <c r="D22" s="49">
        <v>88.4</v>
      </c>
      <c r="E22" s="49">
        <v>91.6</v>
      </c>
      <c r="F22" s="49">
        <v>97.3</v>
      </c>
      <c r="G22" s="49"/>
    </row>
    <row r="23" spans="1:7">
      <c r="A23" s="4">
        <v>2016.1</v>
      </c>
      <c r="B23" t="s">
        <v>14</v>
      </c>
      <c r="C23" s="49">
        <v>403.3</v>
      </c>
      <c r="D23" s="49">
        <v>87.9</v>
      </c>
      <c r="E23" s="49">
        <v>90.6</v>
      </c>
      <c r="F23" s="49">
        <v>97.2</v>
      </c>
      <c r="G23" s="49"/>
    </row>
    <row r="24" spans="1:7">
      <c r="A24" s="4"/>
      <c r="B24" t="s">
        <v>15</v>
      </c>
      <c r="C24" s="49">
        <v>403.8</v>
      </c>
      <c r="D24" s="49">
        <v>89.5</v>
      </c>
      <c r="E24" s="49">
        <v>96.4</v>
      </c>
      <c r="F24" s="49">
        <v>97.2</v>
      </c>
      <c r="G24" s="49"/>
    </row>
    <row r="25" spans="1:7">
      <c r="A25" s="4">
        <v>2016.11</v>
      </c>
      <c r="B25" t="s">
        <v>16</v>
      </c>
      <c r="C25" s="49">
        <v>403.3</v>
      </c>
      <c r="D25" s="49">
        <v>89</v>
      </c>
      <c r="E25" s="49">
        <v>91.6</v>
      </c>
      <c r="F25" s="49">
        <v>98.7</v>
      </c>
      <c r="G25" s="49"/>
    </row>
    <row r="26" spans="1:7">
      <c r="A26" s="4">
        <v>2016.12</v>
      </c>
      <c r="B26" t="s">
        <v>17</v>
      </c>
      <c r="C26" s="49">
        <v>403.3</v>
      </c>
      <c r="D26" s="49">
        <v>92.1</v>
      </c>
      <c r="E26" s="49">
        <v>98.5</v>
      </c>
      <c r="F26" s="49">
        <v>96.2</v>
      </c>
      <c r="G26" s="49"/>
    </row>
    <row r="27" spans="1:7">
      <c r="A27" s="4">
        <v>2017.01</v>
      </c>
      <c r="B27" t="s">
        <v>18</v>
      </c>
      <c r="C27" s="49">
        <v>404.8</v>
      </c>
      <c r="D27" s="49">
        <v>87.4</v>
      </c>
      <c r="E27" s="49">
        <v>99.2</v>
      </c>
      <c r="F27" s="49">
        <v>96.7</v>
      </c>
      <c r="G27" s="49"/>
    </row>
    <row r="28" spans="1:7">
      <c r="A28" s="4"/>
      <c r="B28" t="s">
        <v>19</v>
      </c>
      <c r="C28" s="49">
        <v>405.1</v>
      </c>
      <c r="D28" s="49">
        <v>90.1</v>
      </c>
      <c r="E28" s="49">
        <v>100.1</v>
      </c>
      <c r="F28" s="49">
        <v>97.6</v>
      </c>
      <c r="G28" s="49"/>
    </row>
    <row r="29" spans="1:7">
      <c r="A29" s="4">
        <v>2017.02</v>
      </c>
      <c r="B29" t="s">
        <v>20</v>
      </c>
      <c r="C29" s="49">
        <v>404.8</v>
      </c>
      <c r="D29" s="49">
        <v>89.8</v>
      </c>
      <c r="E29" s="49">
        <v>99.9</v>
      </c>
      <c r="F29" s="49">
        <v>97</v>
      </c>
      <c r="G29" s="49"/>
    </row>
    <row r="30" spans="1:7">
      <c r="A30" s="4">
        <v>2017.03</v>
      </c>
      <c r="B30" t="s">
        <v>21</v>
      </c>
      <c r="C30" s="49">
        <v>404.8</v>
      </c>
      <c r="D30" s="49">
        <v>91</v>
      </c>
      <c r="E30" s="49">
        <v>99.9</v>
      </c>
      <c r="F30" s="49">
        <v>97.6</v>
      </c>
      <c r="G30" s="49"/>
    </row>
    <row r="31" spans="1:7">
      <c r="A31" s="4">
        <v>2017.04</v>
      </c>
      <c r="B31" t="s">
        <v>22</v>
      </c>
      <c r="C31" s="49">
        <v>405.6</v>
      </c>
      <c r="D31" s="49">
        <v>89.6</v>
      </c>
      <c r="E31" s="49">
        <v>100.6</v>
      </c>
      <c r="F31" s="49">
        <v>98.3</v>
      </c>
      <c r="G31" s="49"/>
    </row>
    <row r="32" spans="1:7">
      <c r="A32" s="4"/>
      <c r="B32" t="s">
        <v>23</v>
      </c>
      <c r="C32" s="49">
        <v>410.6</v>
      </c>
      <c r="D32" s="49">
        <v>93.4</v>
      </c>
      <c r="E32" s="49">
        <v>100.9</v>
      </c>
      <c r="F32" s="49">
        <v>100.8</v>
      </c>
      <c r="G32" s="49"/>
    </row>
    <row r="33" spans="1:15">
      <c r="A33" s="4">
        <v>2017.05</v>
      </c>
      <c r="B33" t="s">
        <v>24</v>
      </c>
      <c r="C33" s="49">
        <v>408.6</v>
      </c>
      <c r="D33" s="49">
        <v>92.3</v>
      </c>
      <c r="E33" s="49">
        <v>100.9</v>
      </c>
      <c r="F33" s="49">
        <v>99.6</v>
      </c>
      <c r="G33" s="49"/>
    </row>
    <row r="34" spans="1:15">
      <c r="A34" s="4">
        <v>2017.06</v>
      </c>
      <c r="B34" t="s">
        <v>25</v>
      </c>
      <c r="C34" s="49">
        <v>411.7</v>
      </c>
      <c r="D34" s="49">
        <v>92.7</v>
      </c>
      <c r="E34" s="49">
        <v>100.9</v>
      </c>
      <c r="F34" s="49">
        <v>101.2</v>
      </c>
      <c r="G34" s="49"/>
    </row>
    <row r="35" spans="1:15">
      <c r="A35" s="4">
        <v>2017.07</v>
      </c>
      <c r="B35" t="s">
        <v>26</v>
      </c>
      <c r="C35" s="49">
        <v>411.6</v>
      </c>
      <c r="D35" s="49">
        <v>95.1</v>
      </c>
      <c r="E35" s="49">
        <v>100.9</v>
      </c>
      <c r="F35" s="49">
        <v>101.6</v>
      </c>
      <c r="G35" s="49"/>
    </row>
    <row r="36" spans="1:15" s="48" customFormat="1">
      <c r="A36" s="49"/>
      <c r="C36" s="49"/>
      <c r="D36" s="49"/>
      <c r="E36" s="49"/>
      <c r="F36" s="49"/>
      <c r="G36" s="49"/>
      <c r="I36" s="49"/>
      <c r="J36" s="49"/>
      <c r="K36" s="49"/>
      <c r="L36" s="49"/>
    </row>
    <row r="37" spans="1:15">
      <c r="A37" s="4"/>
      <c r="B37" t="s">
        <v>27</v>
      </c>
      <c r="C37" s="49">
        <v>426.7</v>
      </c>
      <c r="D37" s="49">
        <v>100.00000000000003</v>
      </c>
      <c r="E37" s="49">
        <v>100.00000000000001</v>
      </c>
      <c r="F37" s="49">
        <v>100</v>
      </c>
      <c r="G37" s="49"/>
      <c r="O37" s="7"/>
    </row>
    <row r="38" spans="1:15">
      <c r="A38" s="4"/>
      <c r="B38" t="s">
        <v>11</v>
      </c>
      <c r="C38" s="49">
        <v>413.16666666666669</v>
      </c>
      <c r="D38" s="49">
        <v>94.129428279290323</v>
      </c>
      <c r="E38" s="49">
        <v>99.174820390091881</v>
      </c>
      <c r="F38" s="49">
        <v>98.869456231420358</v>
      </c>
      <c r="G38" s="49"/>
      <c r="O38" s="7"/>
    </row>
    <row r="39" spans="1:15">
      <c r="A39" s="4">
        <v>2017.08</v>
      </c>
      <c r="B39" t="s">
        <v>12</v>
      </c>
      <c r="C39" s="49">
        <v>411.7</v>
      </c>
      <c r="D39" s="49">
        <v>94.164481961779472</v>
      </c>
      <c r="E39" s="49">
        <v>99.174820390091881</v>
      </c>
      <c r="F39" s="49">
        <v>99.135729899193805</v>
      </c>
      <c r="G39" s="49"/>
      <c r="O39" s="7"/>
    </row>
    <row r="40" spans="1:15">
      <c r="A40" s="4">
        <v>2017.09</v>
      </c>
      <c r="B40" t="s">
        <v>13</v>
      </c>
      <c r="C40" s="49">
        <v>411.7</v>
      </c>
      <c r="D40" s="49">
        <v>94.164481961779472</v>
      </c>
      <c r="E40" s="49">
        <v>99.174820390091881</v>
      </c>
      <c r="F40" s="49">
        <v>98.764655130720115</v>
      </c>
      <c r="G40" s="49"/>
      <c r="O40" s="7"/>
    </row>
    <row r="41" spans="1:15">
      <c r="A41" s="4">
        <v>2017.1</v>
      </c>
      <c r="B41" t="s">
        <v>14</v>
      </c>
      <c r="C41" s="49">
        <v>416.1</v>
      </c>
      <c r="D41" s="49">
        <v>94.059320914312039</v>
      </c>
      <c r="E41" s="49">
        <v>99.174820390091881</v>
      </c>
      <c r="F41" s="49">
        <v>98.70798366434714</v>
      </c>
      <c r="G41" s="49"/>
      <c r="O41" s="7"/>
    </row>
    <row r="42" spans="1:15" s="48" customFormat="1">
      <c r="A42" s="49"/>
      <c r="C42" s="49"/>
      <c r="D42" s="49"/>
      <c r="E42" s="49"/>
      <c r="F42" s="49"/>
      <c r="G42" s="49"/>
      <c r="I42" s="49"/>
      <c r="J42" s="49"/>
      <c r="K42" s="49"/>
      <c r="L42" s="49"/>
      <c r="O42" s="7"/>
    </row>
    <row r="43" spans="1:15">
      <c r="A43" s="4"/>
      <c r="B43" t="s">
        <v>15</v>
      </c>
      <c r="C43" s="49">
        <v>416.4666666666667</v>
      </c>
      <c r="D43" s="49">
        <v>96.441024112686407</v>
      </c>
      <c r="E43" s="49">
        <v>99.531924976369211</v>
      </c>
      <c r="F43" s="49">
        <v>98.703783854600275</v>
      </c>
      <c r="G43" s="49"/>
      <c r="O43" s="7"/>
    </row>
    <row r="44" spans="1:15">
      <c r="A44" s="4">
        <v>2017.11</v>
      </c>
      <c r="B44" t="s">
        <v>16</v>
      </c>
      <c r="C44" s="49">
        <v>416.1</v>
      </c>
      <c r="D44" s="49">
        <v>94.966382406050442</v>
      </c>
      <c r="E44" s="49">
        <v>99.531924976369197</v>
      </c>
      <c r="F44" s="49">
        <v>99.543361637329056</v>
      </c>
      <c r="G44" s="49"/>
      <c r="O44" s="7"/>
    </row>
    <row r="45" spans="1:15">
      <c r="A45" s="4">
        <v>2017.12</v>
      </c>
      <c r="B45" t="s">
        <v>17</v>
      </c>
      <c r="C45" s="49">
        <v>416.1</v>
      </c>
      <c r="D45" s="49">
        <v>96.208447671291097</v>
      </c>
      <c r="E45" s="49">
        <v>99.531924976369197</v>
      </c>
      <c r="F45" s="49">
        <v>97.926606958793741</v>
      </c>
      <c r="G45" s="49"/>
      <c r="O45" s="7"/>
    </row>
    <row r="46" spans="1:15">
      <c r="A46" s="4">
        <v>2018.01</v>
      </c>
      <c r="B46" t="s">
        <v>18</v>
      </c>
      <c r="C46" s="49">
        <v>417.2</v>
      </c>
      <c r="D46" s="49">
        <v>98.148242260717637</v>
      </c>
      <c r="E46" s="49">
        <v>99.531924976369197</v>
      </c>
      <c r="F46" s="49">
        <v>98.641382967678069</v>
      </c>
      <c r="G46" s="49"/>
      <c r="O46" s="7"/>
    </row>
    <row r="47" spans="1:15" s="48" customFormat="1">
      <c r="A47" s="49"/>
      <c r="C47" s="49"/>
      <c r="D47" s="49"/>
      <c r="E47" s="49"/>
      <c r="F47" s="49"/>
      <c r="G47" s="49"/>
      <c r="I47" s="49"/>
      <c r="J47" s="49"/>
      <c r="K47" s="49"/>
      <c r="L47" s="49"/>
      <c r="O47" s="7"/>
    </row>
    <row r="48" spans="1:15">
      <c r="A48" s="4"/>
      <c r="B48" t="s">
        <v>19</v>
      </c>
      <c r="C48" s="49">
        <v>433.28999567081019</v>
      </c>
      <c r="D48" s="49">
        <v>102.54149750601145</v>
      </c>
      <c r="E48" s="49">
        <v>100.64227795729364</v>
      </c>
      <c r="F48" s="49">
        <v>99.814434202564485</v>
      </c>
      <c r="G48" s="49"/>
      <c r="O48" s="7"/>
    </row>
    <row r="49" spans="1:15">
      <c r="A49" s="4">
        <v>2018.02</v>
      </c>
      <c r="B49" t="s">
        <v>20</v>
      </c>
      <c r="C49" s="49">
        <v>424.7</v>
      </c>
      <c r="D49" s="49">
        <v>101.84156981578217</v>
      </c>
      <c r="E49" s="49">
        <v>100.64227795729366</v>
      </c>
      <c r="F49" s="49">
        <v>99.122178271705081</v>
      </c>
      <c r="G49" s="49"/>
      <c r="O49" s="7"/>
    </row>
    <row r="50" spans="1:15">
      <c r="A50" s="4">
        <v>2018.03</v>
      </c>
      <c r="B50" t="s">
        <v>21</v>
      </c>
      <c r="C50" s="49">
        <v>437.4</v>
      </c>
      <c r="D50" s="49">
        <v>102.8551477638204</v>
      </c>
      <c r="E50" s="49">
        <v>100.64227795729366</v>
      </c>
      <c r="F50" s="49">
        <v>99.865872125192709</v>
      </c>
      <c r="G50" s="49"/>
      <c r="O50" s="7"/>
    </row>
    <row r="51" spans="1:15">
      <c r="A51" s="4">
        <v>2018.04</v>
      </c>
      <c r="B51" t="s">
        <v>22</v>
      </c>
      <c r="C51" s="49">
        <v>437.9</v>
      </c>
      <c r="D51" s="49">
        <v>102.9277749384318</v>
      </c>
      <c r="E51" s="49">
        <v>100.64227795729366</v>
      </c>
      <c r="F51" s="49">
        <v>100.45525221079566</v>
      </c>
      <c r="G51" s="49"/>
      <c r="O51" s="7"/>
    </row>
    <row r="52" spans="1:15" s="48" customFormat="1">
      <c r="A52" s="49"/>
      <c r="C52" s="49"/>
      <c r="D52" s="49"/>
      <c r="E52" s="49"/>
      <c r="F52" s="49"/>
      <c r="G52" s="49"/>
      <c r="I52" s="49"/>
      <c r="J52" s="49"/>
      <c r="K52" s="49"/>
      <c r="L52" s="49"/>
      <c r="O52" s="7"/>
    </row>
    <row r="53" spans="1:15">
      <c r="A53" s="4"/>
      <c r="B53" t="s">
        <v>23</v>
      </c>
      <c r="C53" s="49">
        <v>443.96456494928765</v>
      </c>
      <c r="D53" s="49">
        <v>106.8880501020119</v>
      </c>
      <c r="E53" s="49">
        <v>100.65097667624532</v>
      </c>
      <c r="F53" s="49">
        <v>102.61232571141483</v>
      </c>
      <c r="G53" s="49"/>
      <c r="O53" s="7"/>
    </row>
    <row r="54" spans="1:15">
      <c r="A54" s="4">
        <v>2018.05</v>
      </c>
      <c r="B54" t="s">
        <v>24</v>
      </c>
      <c r="C54" s="49">
        <v>443</v>
      </c>
      <c r="D54" s="49">
        <v>105.9168390614808</v>
      </c>
      <c r="E54" s="49">
        <v>100.65097667624532</v>
      </c>
      <c r="F54" s="49">
        <v>101.59790283446861</v>
      </c>
      <c r="G54" s="49"/>
      <c r="O54" s="7"/>
    </row>
    <row r="55" spans="1:15">
      <c r="A55" s="4">
        <v>2018.06</v>
      </c>
      <c r="B55" t="s">
        <v>25</v>
      </c>
      <c r="C55" s="49">
        <v>443</v>
      </c>
      <c r="D55" s="49">
        <v>106.58388927072822</v>
      </c>
      <c r="E55" s="49">
        <v>100.65097667624532</v>
      </c>
      <c r="F55" s="49">
        <v>102.48203208078642</v>
      </c>
      <c r="G55" s="49"/>
      <c r="O55" s="7"/>
    </row>
    <row r="56" spans="1:15">
      <c r="A56" s="4">
        <v>2018.07</v>
      </c>
      <c r="B56" t="s">
        <v>26</v>
      </c>
      <c r="C56" s="49">
        <v>445.9</v>
      </c>
      <c r="D56" s="49">
        <v>108.16342197382667</v>
      </c>
      <c r="E56" s="49">
        <v>100.65097667624532</v>
      </c>
      <c r="F56" s="49">
        <v>103.75704221898944</v>
      </c>
      <c r="G56" s="49"/>
      <c r="O56" s="7"/>
    </row>
    <row r="57" spans="1:15" s="48" customFormat="1">
      <c r="A57" s="49"/>
      <c r="C57" s="49"/>
      <c r="D57" s="49"/>
      <c r="E57" s="49"/>
      <c r="F57" s="49"/>
      <c r="G57" s="49"/>
      <c r="I57" s="49"/>
      <c r="J57" s="49"/>
      <c r="K57" s="49"/>
      <c r="L57" s="49"/>
      <c r="O57" s="7"/>
    </row>
    <row r="58" spans="1:15">
      <c r="A58" s="4"/>
      <c r="B58" t="s">
        <v>28</v>
      </c>
      <c r="C58" s="49">
        <v>467.8</v>
      </c>
      <c r="D58" s="49">
        <v>107.98669126690032</v>
      </c>
      <c r="E58" s="49">
        <v>103.84599759390447</v>
      </c>
      <c r="F58" s="49">
        <v>106.36433626723829</v>
      </c>
      <c r="G58" s="49"/>
    </row>
    <row r="59" spans="1:15">
      <c r="A59" s="4"/>
      <c r="B59" t="s">
        <v>11</v>
      </c>
      <c r="C59" s="49">
        <v>453.12593573141356</v>
      </c>
      <c r="D59" s="49">
        <v>108.26874500000001</v>
      </c>
      <c r="E59" s="49">
        <v>102.38489499999999</v>
      </c>
      <c r="F59" s="49">
        <v>106.86756333333334</v>
      </c>
      <c r="G59" s="49"/>
    </row>
    <row r="60" spans="1:15">
      <c r="A60" s="4">
        <v>2018.08</v>
      </c>
      <c r="B60" t="s">
        <v>12</v>
      </c>
      <c r="C60" s="49">
        <v>451.3</v>
      </c>
      <c r="D60" s="49">
        <v>107.93351</v>
      </c>
      <c r="E60" s="49">
        <v>102.384895</v>
      </c>
      <c r="F60" s="49">
        <v>105.48023000000001</v>
      </c>
      <c r="G60" s="49"/>
    </row>
    <row r="61" spans="1:15">
      <c r="A61" s="4">
        <v>2018.09</v>
      </c>
      <c r="B61" t="s">
        <v>13</v>
      </c>
      <c r="C61" s="49">
        <v>451.3</v>
      </c>
      <c r="D61" s="49">
        <v>108.40721000000001</v>
      </c>
      <c r="E61" s="49">
        <v>102.384895</v>
      </c>
      <c r="F61" s="49">
        <v>107.36151</v>
      </c>
      <c r="G61" s="49"/>
    </row>
    <row r="62" spans="1:15">
      <c r="A62" s="4">
        <v>2018.1</v>
      </c>
      <c r="B62" t="s">
        <v>14</v>
      </c>
      <c r="C62" s="49">
        <v>456.8</v>
      </c>
      <c r="D62" s="49">
        <v>108.465515</v>
      </c>
      <c r="E62" s="49">
        <v>102.384895</v>
      </c>
      <c r="F62" s="49">
        <v>107.76094999999999</v>
      </c>
      <c r="G62" s="49"/>
    </row>
    <row r="63" spans="1:15" s="48" customFormat="1">
      <c r="A63" s="49"/>
      <c r="C63" s="49"/>
      <c r="D63" s="49"/>
      <c r="E63" s="49"/>
      <c r="F63" s="49"/>
      <c r="G63" s="49"/>
      <c r="I63" s="49"/>
      <c r="J63" s="49"/>
      <c r="K63" s="49"/>
      <c r="L63" s="49"/>
    </row>
    <row r="64" spans="1:15">
      <c r="A64" s="4"/>
      <c r="B64" t="s">
        <v>15</v>
      </c>
      <c r="C64" s="49">
        <v>464.79997848228339</v>
      </c>
      <c r="D64" s="49">
        <v>107.92490333333335</v>
      </c>
      <c r="E64" s="49">
        <v>104.11818999999998</v>
      </c>
      <c r="F64" s="49">
        <v>105.33086333333331</v>
      </c>
      <c r="G64" s="49"/>
    </row>
    <row r="65" spans="1:12">
      <c r="A65" s="4">
        <v>2018.11</v>
      </c>
      <c r="B65" t="s">
        <v>16</v>
      </c>
      <c r="C65" s="49">
        <v>464.6</v>
      </c>
      <c r="D65" s="49">
        <v>107.98721</v>
      </c>
      <c r="E65" s="49">
        <v>104.11819</v>
      </c>
      <c r="F65" s="49">
        <v>106.43895999999999</v>
      </c>
      <c r="G65" s="49"/>
    </row>
    <row r="66" spans="1:12">
      <c r="A66" s="4">
        <v>2018.12</v>
      </c>
      <c r="B66" t="s">
        <v>17</v>
      </c>
      <c r="C66" s="49">
        <v>464.9</v>
      </c>
      <c r="D66" s="49">
        <v>107.89727000000001</v>
      </c>
      <c r="E66" s="49">
        <v>104.11819</v>
      </c>
      <c r="F66" s="49">
        <v>104.95336</v>
      </c>
      <c r="G66" s="49"/>
    </row>
    <row r="67" spans="1:12">
      <c r="A67" s="4">
        <v>2019.01</v>
      </c>
      <c r="B67" t="s">
        <v>18</v>
      </c>
      <c r="C67" s="49">
        <v>464.9</v>
      </c>
      <c r="D67" s="49">
        <v>107.89023</v>
      </c>
      <c r="E67" s="49">
        <v>104.11819</v>
      </c>
      <c r="F67" s="49">
        <v>104.60026999999999</v>
      </c>
      <c r="G67" s="49"/>
    </row>
    <row r="68" spans="1:12" s="48" customFormat="1">
      <c r="A68" s="49"/>
      <c r="C68" s="49"/>
      <c r="D68" s="49"/>
      <c r="E68" s="49"/>
      <c r="F68" s="49"/>
      <c r="G68" s="49"/>
      <c r="I68" s="49"/>
      <c r="J68" s="49"/>
      <c r="K68" s="49"/>
      <c r="L68" s="49"/>
    </row>
    <row r="69" spans="1:12">
      <c r="A69" s="4"/>
      <c r="B69" t="s">
        <v>19</v>
      </c>
      <c r="C69" s="49">
        <v>475.23273524399616</v>
      </c>
      <c r="D69" s="49">
        <v>107.165372</v>
      </c>
      <c r="E69" s="49">
        <v>104.40072000000002</v>
      </c>
      <c r="F69" s="49">
        <v>104.64829833333333</v>
      </c>
      <c r="G69" s="49"/>
    </row>
    <row r="70" spans="1:12">
      <c r="A70" s="4">
        <v>2019.02</v>
      </c>
      <c r="B70" t="s">
        <v>20</v>
      </c>
      <c r="C70" s="49">
        <v>474.7</v>
      </c>
      <c r="D70" s="49">
        <v>107.10903</v>
      </c>
      <c r="E70" s="49">
        <v>104.40072000000001</v>
      </c>
      <c r="F70" s="49">
        <v>104.259315</v>
      </c>
      <c r="G70" s="49"/>
    </row>
    <row r="71" spans="1:12">
      <c r="A71" s="4">
        <v>2019.03</v>
      </c>
      <c r="B71" t="s">
        <v>21</v>
      </c>
      <c r="C71" s="49">
        <v>474.7</v>
      </c>
      <c r="D71" s="49">
        <v>107.217766</v>
      </c>
      <c r="E71" s="49">
        <v>104.40072000000001</v>
      </c>
      <c r="F71" s="49">
        <v>104.83313</v>
      </c>
      <c r="G71" s="49"/>
    </row>
    <row r="72" spans="1:12">
      <c r="A72" s="4">
        <v>2019.04</v>
      </c>
      <c r="B72" t="s">
        <v>22</v>
      </c>
      <c r="C72" s="49">
        <v>476.3</v>
      </c>
      <c r="D72" s="49">
        <v>107.16932</v>
      </c>
      <c r="E72" s="49">
        <v>104.40072000000001</v>
      </c>
      <c r="F72" s="49">
        <v>104.85245</v>
      </c>
      <c r="G72" s="49"/>
    </row>
    <row r="73" spans="1:12" s="48" customFormat="1">
      <c r="A73" s="49"/>
      <c r="C73" s="49"/>
      <c r="D73" s="49"/>
      <c r="E73" s="49"/>
      <c r="F73" s="49"/>
      <c r="G73" s="49"/>
      <c r="I73" s="49"/>
      <c r="J73" s="49"/>
      <c r="K73" s="49"/>
      <c r="L73" s="49"/>
    </row>
    <row r="74" spans="1:12">
      <c r="A74" s="4"/>
      <c r="B74" t="s">
        <v>23</v>
      </c>
      <c r="C74" s="49">
        <v>476.49997901070384</v>
      </c>
      <c r="D74" s="49">
        <v>108.52858667347087</v>
      </c>
      <c r="E74" s="49">
        <v>104.49440999999993</v>
      </c>
      <c r="F74" s="49">
        <v>108.05581424272448</v>
      </c>
      <c r="G74" s="49"/>
    </row>
    <row r="75" spans="1:12">
      <c r="A75" s="4">
        <v>2019.05</v>
      </c>
      <c r="B75" t="s">
        <v>24</v>
      </c>
      <c r="C75" s="49">
        <v>476.3</v>
      </c>
      <c r="D75" s="49">
        <v>108.4</v>
      </c>
      <c r="E75" s="49">
        <v>104.49441</v>
      </c>
      <c r="F75" s="49">
        <v>106.871635</v>
      </c>
      <c r="G75" s="49"/>
    </row>
    <row r="76" spans="1:12">
      <c r="A76" s="4">
        <v>2019.06</v>
      </c>
      <c r="B76" t="s">
        <v>25</v>
      </c>
      <c r="C76" s="49">
        <v>476.6</v>
      </c>
      <c r="D76" s="49">
        <v>108.51526</v>
      </c>
      <c r="E76" s="49">
        <v>104.49441</v>
      </c>
      <c r="F76" s="49">
        <v>107.93908</v>
      </c>
      <c r="G76" s="49"/>
    </row>
    <row r="77" spans="1:12">
      <c r="A77" s="4">
        <v>2019.07</v>
      </c>
      <c r="B77" t="s">
        <v>26</v>
      </c>
      <c r="C77" s="49">
        <v>476.6</v>
      </c>
      <c r="D77" s="49">
        <v>108.67067</v>
      </c>
      <c r="E77" s="49">
        <v>104.49441</v>
      </c>
      <c r="F77" s="49">
        <v>109.37127</v>
      </c>
      <c r="G77" s="49"/>
    </row>
    <row r="78" spans="1:12" s="48" customFormat="1">
      <c r="A78" s="49"/>
      <c r="C78" s="49"/>
      <c r="D78" s="49"/>
      <c r="E78" s="49"/>
      <c r="F78" s="49"/>
      <c r="G78" s="49"/>
      <c r="I78" s="49"/>
      <c r="J78" s="49"/>
      <c r="K78" s="49"/>
      <c r="L78" s="49"/>
    </row>
    <row r="79" spans="1:12">
      <c r="A79" s="4"/>
      <c r="B79" t="s">
        <v>29</v>
      </c>
      <c r="C79" s="49">
        <v>498.52618092064</v>
      </c>
      <c r="D79" s="49">
        <v>103.808264367294</v>
      </c>
      <c r="E79" s="49">
        <v>107.47898168151205</v>
      </c>
      <c r="F79" s="49">
        <v>113.05362108903954</v>
      </c>
      <c r="G79" s="49"/>
    </row>
    <row r="80" spans="1:12">
      <c r="A80" s="4"/>
      <c r="B80" t="s">
        <v>11</v>
      </c>
      <c r="C80" s="49">
        <v>495.14331072090181</v>
      </c>
      <c r="D80" s="49">
        <v>106.13954400236041</v>
      </c>
      <c r="E80" s="49">
        <v>107.11339000000001</v>
      </c>
      <c r="F80" s="49">
        <v>112.82876463564361</v>
      </c>
      <c r="G80" s="49"/>
    </row>
    <row r="81" spans="1:12">
      <c r="A81" s="4">
        <v>2019.08</v>
      </c>
      <c r="B81" t="s">
        <v>12</v>
      </c>
      <c r="C81" s="49">
        <v>494.830080854051</v>
      </c>
      <c r="D81" s="49">
        <v>106.58741999999999</v>
      </c>
      <c r="E81" s="49">
        <v>107.11339</v>
      </c>
      <c r="F81" s="49">
        <v>114.19800600000001</v>
      </c>
      <c r="G81" s="49"/>
    </row>
    <row r="82" spans="1:12">
      <c r="A82" s="4">
        <v>2019.09</v>
      </c>
      <c r="B82" t="s">
        <v>13</v>
      </c>
      <c r="C82" s="49">
        <v>495.3</v>
      </c>
      <c r="D82" s="49">
        <v>105.98266</v>
      </c>
      <c r="E82" s="49">
        <v>107.11339</v>
      </c>
      <c r="F82" s="49">
        <v>114.2362</v>
      </c>
      <c r="G82" s="49"/>
    </row>
    <row r="83" spans="1:12">
      <c r="A83" s="4">
        <v>2019.1</v>
      </c>
      <c r="B83" t="s">
        <v>14</v>
      </c>
      <c r="C83" s="49">
        <v>495.3</v>
      </c>
      <c r="D83" s="49">
        <v>105.85000599999999</v>
      </c>
      <c r="E83" s="49">
        <v>107.11339</v>
      </c>
      <c r="F83" s="49">
        <v>115.61494</v>
      </c>
      <c r="G83" s="49"/>
    </row>
    <row r="84" spans="1:12" s="48" customFormat="1">
      <c r="A84" s="49"/>
      <c r="C84" s="49"/>
      <c r="D84" s="49"/>
      <c r="E84" s="49"/>
      <c r="F84" s="49"/>
      <c r="G84" s="49"/>
      <c r="I84" s="49"/>
      <c r="J84" s="49"/>
      <c r="K84" s="49"/>
      <c r="L84" s="49"/>
    </row>
    <row r="85" spans="1:12">
      <c r="A85" s="4"/>
      <c r="B85" t="s">
        <v>15</v>
      </c>
      <c r="C85" s="49">
        <v>500.55861349773369</v>
      </c>
      <c r="D85" s="49">
        <v>103.15964682639706</v>
      </c>
      <c r="E85" s="49">
        <v>107.38750499999999</v>
      </c>
      <c r="F85" s="49">
        <v>113.90192967035063</v>
      </c>
      <c r="G85" s="49"/>
    </row>
    <row r="86" spans="1:12">
      <c r="A86" s="4">
        <v>2019.11</v>
      </c>
      <c r="B86" t="s">
        <v>16</v>
      </c>
      <c r="C86" s="49">
        <v>500</v>
      </c>
      <c r="D86" s="49">
        <v>104.74215</v>
      </c>
      <c r="E86" s="49">
        <v>107.387505</v>
      </c>
      <c r="F86" s="49">
        <v>114.49728</v>
      </c>
      <c r="G86" s="49"/>
    </row>
    <row r="87" spans="1:12">
      <c r="A87" s="4">
        <v>2019.12</v>
      </c>
      <c r="B87" t="s">
        <v>17</v>
      </c>
      <c r="C87" s="49">
        <v>500.8381542398198</v>
      </c>
      <c r="D87" s="49">
        <v>102.328766</v>
      </c>
      <c r="E87" s="49">
        <v>107.387505</v>
      </c>
      <c r="F87" s="49">
        <v>114.376045</v>
      </c>
      <c r="G87" s="49"/>
    </row>
    <row r="88" spans="1:12">
      <c r="A88" s="4">
        <v>2020.01</v>
      </c>
      <c r="B88" t="s">
        <v>18</v>
      </c>
      <c r="C88" s="49">
        <v>500.8381542398198</v>
      </c>
      <c r="D88" s="49">
        <v>102.426025</v>
      </c>
      <c r="E88" s="49">
        <v>107.387505</v>
      </c>
      <c r="F88" s="49">
        <v>112.83998</v>
      </c>
      <c r="G88" s="49"/>
    </row>
    <row r="89" spans="1:12" s="48" customFormat="1">
      <c r="A89" s="49"/>
      <c r="C89" s="49"/>
      <c r="D89" s="49"/>
      <c r="E89" s="49"/>
      <c r="F89" s="49"/>
      <c r="G89" s="49"/>
      <c r="I89" s="49"/>
      <c r="J89" s="49"/>
      <c r="K89" s="49"/>
      <c r="L89" s="49"/>
    </row>
    <row r="90" spans="1:12">
      <c r="A90" s="4"/>
      <c r="B90" t="s">
        <v>19</v>
      </c>
      <c r="C90" s="49">
        <v>500.83815423981963</v>
      </c>
      <c r="D90" s="49">
        <v>103.06978106974678</v>
      </c>
      <c r="E90" s="49">
        <v>107.67621599999995</v>
      </c>
      <c r="F90" s="49">
        <v>112.13598378220715</v>
      </c>
      <c r="G90" s="49"/>
    </row>
    <row r="91" spans="1:12">
      <c r="A91" s="4">
        <v>2020.02</v>
      </c>
      <c r="B91" t="s">
        <v>20</v>
      </c>
      <c r="C91" s="49">
        <v>500.8381542398198</v>
      </c>
      <c r="D91" s="49">
        <v>102.93785</v>
      </c>
      <c r="E91" s="49">
        <v>107.676216</v>
      </c>
      <c r="F91" s="49">
        <v>111.69307000000001</v>
      </c>
      <c r="G91" s="49"/>
    </row>
    <row r="92" spans="1:12">
      <c r="A92" s="4">
        <v>2020.03</v>
      </c>
      <c r="B92" t="s">
        <v>21</v>
      </c>
      <c r="C92" s="49">
        <v>500.8381542398198</v>
      </c>
      <c r="D92" s="49">
        <v>103.13581000000001</v>
      </c>
      <c r="E92" s="49">
        <v>107.676216</v>
      </c>
      <c r="F92" s="49">
        <v>111.71585</v>
      </c>
      <c r="G92" s="49"/>
    </row>
    <row r="93" spans="1:12">
      <c r="A93" s="4">
        <v>2020.04</v>
      </c>
      <c r="B93" t="s">
        <v>22</v>
      </c>
      <c r="C93" s="49">
        <v>500.8381542398198</v>
      </c>
      <c r="D93" s="49">
        <v>103.13581000000001</v>
      </c>
      <c r="E93" s="49">
        <v>107.676216</v>
      </c>
      <c r="F93" s="49">
        <v>113.00404</v>
      </c>
      <c r="G93" s="49"/>
    </row>
    <row r="94" spans="1:12" s="48" customFormat="1">
      <c r="A94" s="49"/>
      <c r="C94" s="49"/>
      <c r="D94" s="49"/>
      <c r="E94" s="49"/>
      <c r="F94" s="49"/>
      <c r="G94" s="49"/>
      <c r="I94" s="49"/>
      <c r="J94" s="49"/>
      <c r="K94" s="49"/>
      <c r="L94" s="49"/>
    </row>
    <row r="95" spans="1:12">
      <c r="A95" s="4"/>
      <c r="B95" t="s">
        <v>23</v>
      </c>
      <c r="C95" s="49">
        <v>497.58653798254153</v>
      </c>
      <c r="D95" s="49">
        <v>102.89856111084701</v>
      </c>
      <c r="E95" s="49">
        <v>107.73997499999992</v>
      </c>
      <c r="F95" s="49">
        <v>113.35534336702261</v>
      </c>
      <c r="G95" s="49"/>
    </row>
    <row r="96" spans="1:12">
      <c r="A96" s="4">
        <v>2020.05</v>
      </c>
      <c r="B96" t="s">
        <v>24</v>
      </c>
      <c r="C96" s="49">
        <v>500.83815423982003</v>
      </c>
      <c r="D96" s="49">
        <v>102.75022</v>
      </c>
      <c r="E96" s="49">
        <v>107.739975</v>
      </c>
      <c r="F96" s="49">
        <v>112.38232000000001</v>
      </c>
      <c r="G96" s="49"/>
    </row>
    <row r="97" spans="1:17">
      <c r="A97" s="4">
        <v>2020.06</v>
      </c>
      <c r="B97" t="s">
        <v>25</v>
      </c>
      <c r="C97" s="49">
        <v>495.96865492666547</v>
      </c>
      <c r="D97" s="49">
        <v>103.44945</v>
      </c>
      <c r="E97" s="49">
        <v>107.739975</v>
      </c>
      <c r="F97" s="49">
        <v>112.21762</v>
      </c>
      <c r="G97" s="49"/>
    </row>
    <row r="98" spans="1:17">
      <c r="A98" s="4">
        <v>2020.07</v>
      </c>
      <c r="B98" t="s">
        <v>26</v>
      </c>
      <c r="C98" s="49">
        <v>495.96865492666547</v>
      </c>
      <c r="D98" s="49">
        <v>102.49836999999999</v>
      </c>
      <c r="E98" s="49">
        <v>107.739975</v>
      </c>
      <c r="F98" s="49">
        <v>115.496</v>
      </c>
      <c r="G98" s="49"/>
      <c r="I98" s="114" t="s">
        <v>112</v>
      </c>
      <c r="J98" s="114"/>
      <c r="K98" s="114"/>
      <c r="L98" s="114"/>
      <c r="M98" s="114"/>
      <c r="N98" s="114"/>
      <c r="O98" s="114"/>
      <c r="P98" s="114"/>
      <c r="Q98" s="114"/>
    </row>
    <row r="99" spans="1:17" s="48" customFormat="1">
      <c r="A99" s="49"/>
      <c r="C99" s="49"/>
      <c r="D99" s="49"/>
      <c r="E99" s="49"/>
      <c r="F99" s="49"/>
      <c r="G99" s="49"/>
      <c r="I99" s="49"/>
      <c r="J99" s="49"/>
      <c r="K99" s="49"/>
      <c r="L99" s="49"/>
    </row>
    <row r="100" spans="1:17">
      <c r="A100" s="4"/>
      <c r="B100" t="s">
        <v>30</v>
      </c>
      <c r="C100" s="49">
        <v>508.17862560528454</v>
      </c>
      <c r="D100" s="49">
        <v>107.64860615132841</v>
      </c>
      <c r="E100" s="49">
        <v>113.03394940978926</v>
      </c>
      <c r="F100" s="49">
        <v>0</v>
      </c>
      <c r="G100" s="49"/>
      <c r="I100" s="49">
        <v>508.17862560528454</v>
      </c>
      <c r="N100" s="49" t="b">
        <f>C100=I100</f>
        <v>1</v>
      </c>
      <c r="O100" s="49"/>
      <c r="P100" s="49"/>
    </row>
    <row r="101" spans="1:17">
      <c r="A101" s="4"/>
      <c r="B101" t="s">
        <v>11</v>
      </c>
      <c r="C101" s="49">
        <v>498.89708734700673</v>
      </c>
      <c r="D101" s="49">
        <v>103.80737161799628</v>
      </c>
      <c r="E101" s="49">
        <v>112.19695000000003</v>
      </c>
      <c r="F101" s="49">
        <v>124.00294157517109</v>
      </c>
      <c r="G101" s="49"/>
      <c r="I101" s="49">
        <v>498.89708734700673</v>
      </c>
      <c r="J101" s="49">
        <v>103.80737161799628</v>
      </c>
      <c r="K101" s="49">
        <v>112.19695000000003</v>
      </c>
      <c r="L101" s="49">
        <v>124.00294157517109</v>
      </c>
      <c r="N101" s="49" t="b">
        <f>indexTable[[#This Row],[Labour]]=I101</f>
        <v>1</v>
      </c>
      <c r="O101" s="49" t="b">
        <f t="shared" ref="O101:O160" si="0">D101=J101</f>
        <v>1</v>
      </c>
      <c r="P101" s="49" t="b">
        <f t="shared" ref="P101:Q160" si="1">E101=K101</f>
        <v>1</v>
      </c>
      <c r="Q101" s="49" t="b">
        <f t="shared" si="1"/>
        <v>1</v>
      </c>
    </row>
    <row r="102" spans="1:17">
      <c r="A102" s="4">
        <v>2020.08</v>
      </c>
      <c r="B102" t="s">
        <v>12</v>
      </c>
      <c r="C102" s="49">
        <v>499.06855291105023</v>
      </c>
      <c r="D102" s="49">
        <v>104.10543</v>
      </c>
      <c r="E102" s="49">
        <v>112.19695</v>
      </c>
      <c r="F102" s="49">
        <v>122.57004499999999</v>
      </c>
      <c r="G102" s="49"/>
      <c r="I102" s="49">
        <v>499.06855291105023</v>
      </c>
      <c r="J102" s="49">
        <v>104.10543</v>
      </c>
      <c r="K102" s="49">
        <v>112.19695</v>
      </c>
      <c r="L102" s="49">
        <v>122.57004499999999</v>
      </c>
      <c r="N102" s="49" t="b">
        <f>indexTable[[#This Row],[Labour]]=I102</f>
        <v>1</v>
      </c>
      <c r="O102" s="49" t="b">
        <f t="shared" si="0"/>
        <v>1</v>
      </c>
      <c r="P102" s="49" t="b">
        <f t="shared" si="1"/>
        <v>1</v>
      </c>
      <c r="Q102" s="49" t="b">
        <f t="shared" si="1"/>
        <v>1</v>
      </c>
    </row>
    <row r="103" spans="1:17">
      <c r="A103" s="4">
        <v>2020.09</v>
      </c>
      <c r="B103" t="s">
        <v>13</v>
      </c>
      <c r="C103" s="49">
        <v>498.81137665773389</v>
      </c>
      <c r="D103" s="49">
        <v>103.72685</v>
      </c>
      <c r="E103" s="49">
        <v>112.19695</v>
      </c>
      <c r="F103" s="49">
        <v>124.29369</v>
      </c>
      <c r="G103" s="49"/>
      <c r="I103" s="49">
        <v>498.81137665773389</v>
      </c>
      <c r="J103" s="49">
        <v>103.72685</v>
      </c>
      <c r="K103" s="49">
        <v>112.19695</v>
      </c>
      <c r="L103" s="49">
        <v>124.29369</v>
      </c>
      <c r="N103" s="49" t="b">
        <f>indexTable[[#This Row],[Labour]]=I103</f>
        <v>1</v>
      </c>
      <c r="O103" s="49" t="b">
        <f t="shared" si="0"/>
        <v>1</v>
      </c>
      <c r="P103" s="49" t="b">
        <f t="shared" si="1"/>
        <v>1</v>
      </c>
      <c r="Q103" s="49" t="b">
        <f t="shared" si="1"/>
        <v>1</v>
      </c>
    </row>
    <row r="104" spans="1:17">
      <c r="A104" s="4">
        <v>2020.1</v>
      </c>
      <c r="B104" t="s">
        <v>14</v>
      </c>
      <c r="C104" s="49">
        <v>498.81137665773389</v>
      </c>
      <c r="D104" s="49">
        <v>103.59052</v>
      </c>
      <c r="E104" s="49">
        <v>112.19695</v>
      </c>
      <c r="F104" s="49">
        <v>125.15913</v>
      </c>
      <c r="G104" s="49"/>
      <c r="I104" s="49">
        <v>498.81137665773389</v>
      </c>
      <c r="J104" s="49">
        <v>103.59052</v>
      </c>
      <c r="K104" s="49">
        <v>112.19695</v>
      </c>
      <c r="L104" s="49">
        <v>125.15913</v>
      </c>
      <c r="N104" s="49" t="b">
        <f>indexTable[[#This Row],[Labour]]=I104</f>
        <v>1</v>
      </c>
      <c r="O104" s="49" t="b">
        <f t="shared" si="0"/>
        <v>1</v>
      </c>
      <c r="P104" s="49" t="b">
        <f t="shared" si="1"/>
        <v>1</v>
      </c>
      <c r="Q104" s="49" t="b">
        <f t="shared" si="1"/>
        <v>1</v>
      </c>
    </row>
    <row r="105" spans="1:17" s="48" customFormat="1">
      <c r="A105" s="49"/>
      <c r="C105" s="49"/>
      <c r="D105" s="49"/>
      <c r="E105" s="49"/>
      <c r="F105" s="49"/>
      <c r="G105" s="49"/>
      <c r="I105" s="49"/>
      <c r="J105" s="49"/>
      <c r="K105" s="49"/>
      <c r="L105" s="49"/>
      <c r="N105" s="49" t="b">
        <f>indexTable[[#This Row],[Labour]]=I105</f>
        <v>1</v>
      </c>
      <c r="O105" s="49" t="b">
        <f t="shared" si="0"/>
        <v>1</v>
      </c>
      <c r="P105" s="49" t="b">
        <f t="shared" si="1"/>
        <v>1</v>
      </c>
      <c r="Q105" s="49" t="b">
        <f t="shared" si="1"/>
        <v>1</v>
      </c>
    </row>
    <row r="106" spans="1:17">
      <c r="A106" s="4"/>
      <c r="B106" t="s">
        <v>15</v>
      </c>
      <c r="C106" s="49">
        <v>502.93835782771362</v>
      </c>
      <c r="D106" s="49">
        <v>105.56151836739436</v>
      </c>
      <c r="E106" s="49">
        <v>112.74574999999994</v>
      </c>
      <c r="F106" s="49">
        <v>122.644594022088</v>
      </c>
      <c r="G106" s="49"/>
      <c r="I106" s="49">
        <v>502.93835782771362</v>
      </c>
      <c r="J106" s="49">
        <v>105.56151836739436</v>
      </c>
      <c r="K106" s="49">
        <v>112.74574999999994</v>
      </c>
      <c r="L106" s="49">
        <v>122.644594022088</v>
      </c>
      <c r="N106" s="49" t="b">
        <f>indexTable[[#This Row],[Labour]]=I106</f>
        <v>1</v>
      </c>
      <c r="O106" s="49" t="b">
        <f t="shared" si="0"/>
        <v>1</v>
      </c>
      <c r="P106" s="49" t="b">
        <f t="shared" si="1"/>
        <v>1</v>
      </c>
      <c r="Q106" s="49" t="b">
        <f t="shared" si="1"/>
        <v>1</v>
      </c>
    </row>
    <row r="107" spans="1:17">
      <c r="A107" s="4">
        <v>2020.11</v>
      </c>
      <c r="B107" t="s">
        <v>16</v>
      </c>
      <c r="C107" s="49">
        <v>498.81137665773389</v>
      </c>
      <c r="D107" s="49">
        <v>104.547195</v>
      </c>
      <c r="E107" s="49">
        <v>112.74575</v>
      </c>
      <c r="F107" s="49">
        <v>125.275566</v>
      </c>
      <c r="G107" s="49"/>
      <c r="I107" s="49">
        <v>498.81137665773389</v>
      </c>
      <c r="J107" s="49">
        <v>104.547195</v>
      </c>
      <c r="K107" s="49">
        <v>112.74575</v>
      </c>
      <c r="L107" s="49">
        <v>125.275566</v>
      </c>
      <c r="N107" s="49" t="b">
        <f>indexTable[[#This Row],[Labour]]=I107</f>
        <v>1</v>
      </c>
      <c r="O107" s="49" t="b">
        <f t="shared" si="0"/>
        <v>1</v>
      </c>
      <c r="P107" s="49" t="b">
        <f t="shared" si="1"/>
        <v>1</v>
      </c>
      <c r="Q107" s="49" t="b">
        <f t="shared" si="1"/>
        <v>1</v>
      </c>
    </row>
    <row r="108" spans="1:17">
      <c r="A108" s="4">
        <v>2020.12</v>
      </c>
      <c r="B108" t="s">
        <v>17</v>
      </c>
      <c r="C108" s="49">
        <v>500.96844064228122</v>
      </c>
      <c r="D108" s="49">
        <v>105.03371</v>
      </c>
      <c r="E108" s="49">
        <v>112.74575</v>
      </c>
      <c r="F108" s="49">
        <v>122.90701</v>
      </c>
      <c r="G108" s="49"/>
      <c r="I108" s="49">
        <v>500.96844064228122</v>
      </c>
      <c r="J108" s="49">
        <v>105.03371</v>
      </c>
      <c r="K108" s="49">
        <v>112.74575</v>
      </c>
      <c r="L108" s="49">
        <v>122.90701</v>
      </c>
      <c r="N108" s="49" t="b">
        <f>indexTable[[#This Row],[Labour]]=I108</f>
        <v>1</v>
      </c>
      <c r="O108" s="49" t="b">
        <f t="shared" si="0"/>
        <v>1</v>
      </c>
      <c r="P108" s="49" t="b">
        <f t="shared" si="1"/>
        <v>1</v>
      </c>
      <c r="Q108" s="49" t="b">
        <f t="shared" si="1"/>
        <v>1</v>
      </c>
    </row>
    <row r="109" spans="1:17">
      <c r="A109" s="4">
        <v>2021.01</v>
      </c>
      <c r="B109" t="s">
        <v>18</v>
      </c>
      <c r="C109" s="49">
        <v>509.09350990196276</v>
      </c>
      <c r="D109" s="49">
        <v>107.12129</v>
      </c>
      <c r="E109" s="49">
        <v>112.74575</v>
      </c>
      <c r="F109" s="49">
        <v>119.81252000000001</v>
      </c>
      <c r="G109" s="49"/>
      <c r="I109" s="49">
        <v>509.09350990196276</v>
      </c>
      <c r="J109" s="49">
        <v>107.12129</v>
      </c>
      <c r="K109" s="49">
        <v>112.74575</v>
      </c>
      <c r="L109" s="49">
        <v>119.81252000000001</v>
      </c>
      <c r="N109" s="49" t="b">
        <f>indexTable[[#This Row],[Labour]]=I109</f>
        <v>1</v>
      </c>
      <c r="O109" s="49" t="b">
        <f t="shared" si="0"/>
        <v>1</v>
      </c>
      <c r="P109" s="49" t="b">
        <f t="shared" si="1"/>
        <v>1</v>
      </c>
      <c r="Q109" s="49" t="b">
        <f t="shared" si="1"/>
        <v>1</v>
      </c>
    </row>
    <row r="110" spans="1:17" s="48" customFormat="1">
      <c r="A110" s="49"/>
      <c r="C110" s="49"/>
      <c r="D110" s="49"/>
      <c r="E110" s="49"/>
      <c r="F110" s="49"/>
      <c r="G110" s="49"/>
      <c r="I110" s="49"/>
      <c r="J110" s="49"/>
      <c r="K110" s="49"/>
      <c r="L110" s="49"/>
      <c r="N110" s="49" t="b">
        <f>indexTable[[#This Row],[Labour]]=I110</f>
        <v>1</v>
      </c>
      <c r="O110" s="49" t="b">
        <f t="shared" si="0"/>
        <v>1</v>
      </c>
      <c r="P110" s="49" t="b">
        <f t="shared" si="1"/>
        <v>1</v>
      </c>
      <c r="Q110" s="49" t="b">
        <f t="shared" si="1"/>
        <v>1</v>
      </c>
    </row>
    <row r="111" spans="1:17">
      <c r="A111" s="4"/>
      <c r="B111" t="s">
        <v>19</v>
      </c>
      <c r="C111" s="49">
        <v>513.66900544888472</v>
      </c>
      <c r="D111" s="49">
        <v>108.95081799538883</v>
      </c>
      <c r="E111" s="49">
        <v>113.51199999999994</v>
      </c>
      <c r="F111" s="49">
        <v>119.07625612652819</v>
      </c>
      <c r="G111" s="49"/>
      <c r="I111" s="49">
        <v>513.66900544888472</v>
      </c>
      <c r="J111" s="49">
        <v>108.95081799538883</v>
      </c>
      <c r="K111" s="49">
        <v>113.51199999999994</v>
      </c>
      <c r="L111" s="49">
        <v>119.07625612652819</v>
      </c>
      <c r="N111" s="49" t="b">
        <f>indexTable[[#This Row],[Labour]]=I111</f>
        <v>1</v>
      </c>
      <c r="O111" s="49" t="b">
        <f t="shared" si="0"/>
        <v>1</v>
      </c>
      <c r="P111" s="49" t="b">
        <f t="shared" si="1"/>
        <v>1</v>
      </c>
      <c r="Q111" s="49" t="b">
        <f t="shared" si="1"/>
        <v>1</v>
      </c>
    </row>
    <row r="112" spans="1:17">
      <c r="A112" s="4">
        <v>2021.02</v>
      </c>
      <c r="B112" t="s">
        <v>20</v>
      </c>
      <c r="C112" s="49">
        <v>511.96033470711359</v>
      </c>
      <c r="D112" s="49">
        <v>109.37220000000001</v>
      </c>
      <c r="E112" s="49">
        <v>113.512</v>
      </c>
      <c r="F112" s="49">
        <v>118.53216999999999</v>
      </c>
      <c r="G112" s="49"/>
      <c r="I112" s="49">
        <v>511.96033470711359</v>
      </c>
      <c r="J112" s="49">
        <v>109.37220000000001</v>
      </c>
      <c r="K112" s="49">
        <v>113.512</v>
      </c>
      <c r="L112" s="49">
        <v>118.53216999999999</v>
      </c>
      <c r="N112" s="49" t="b">
        <f>indexTable[[#This Row],[Labour]]=I112</f>
        <v>1</v>
      </c>
      <c r="O112" s="49" t="b">
        <f t="shared" si="0"/>
        <v>1</v>
      </c>
      <c r="P112" s="49" t="b">
        <f t="shared" si="1"/>
        <v>1</v>
      </c>
      <c r="Q112" s="49" t="b">
        <f t="shared" si="1"/>
        <v>1</v>
      </c>
    </row>
    <row r="113" spans="1:18">
      <c r="A113" s="4">
        <v>2021.03</v>
      </c>
      <c r="B113" t="s">
        <v>21</v>
      </c>
      <c r="C113" s="49">
        <v>514.52547814384309</v>
      </c>
      <c r="D113" s="49">
        <v>108.20650000000001</v>
      </c>
      <c r="E113" s="49">
        <v>113.512</v>
      </c>
      <c r="F113" s="49">
        <v>118.75336</v>
      </c>
      <c r="G113" s="49"/>
      <c r="I113" s="49">
        <v>514.52547814384309</v>
      </c>
      <c r="J113" s="49">
        <v>108.20650000000001</v>
      </c>
      <c r="K113" s="49">
        <v>113.512</v>
      </c>
      <c r="L113" s="49">
        <v>118.75336</v>
      </c>
      <c r="N113" s="49" t="b">
        <f>indexTable[[#This Row],[Labour]]=I113</f>
        <v>1</v>
      </c>
      <c r="O113" s="49" t="b">
        <f t="shared" si="0"/>
        <v>1</v>
      </c>
      <c r="P113" s="49" t="b">
        <f t="shared" si="1"/>
        <v>1</v>
      </c>
      <c r="Q113" s="49" t="b">
        <f t="shared" si="1"/>
        <v>1</v>
      </c>
    </row>
    <row r="114" spans="1:18">
      <c r="A114" s="4">
        <v>2021.04</v>
      </c>
      <c r="B114" t="s">
        <v>22</v>
      </c>
      <c r="C114" s="49">
        <v>514.52547814384309</v>
      </c>
      <c r="D114" s="49">
        <v>109.27761</v>
      </c>
      <c r="E114" s="49">
        <v>113.512</v>
      </c>
      <c r="F114" s="49">
        <v>119.9481</v>
      </c>
      <c r="G114" s="49"/>
      <c r="I114" s="49">
        <v>514.52547814384309</v>
      </c>
      <c r="J114" s="49">
        <v>109.27761</v>
      </c>
      <c r="K114" s="49">
        <v>113.512</v>
      </c>
      <c r="L114" s="49">
        <v>119.9481</v>
      </c>
      <c r="N114" s="49" t="b">
        <f>indexTable[[#This Row],[Labour]]=I114</f>
        <v>1</v>
      </c>
      <c r="O114" s="49" t="b">
        <f t="shared" si="0"/>
        <v>1</v>
      </c>
      <c r="P114" s="49" t="b">
        <f t="shared" si="1"/>
        <v>1</v>
      </c>
      <c r="Q114" s="49" t="b">
        <f t="shared" si="1"/>
        <v>1</v>
      </c>
    </row>
    <row r="115" spans="1:18" s="48" customFormat="1">
      <c r="A115" s="49"/>
      <c r="C115" s="49"/>
      <c r="D115" s="49"/>
      <c r="E115" s="49"/>
      <c r="F115" s="49"/>
      <c r="G115" s="49"/>
      <c r="I115" s="49"/>
      <c r="J115" s="49"/>
      <c r="K115" s="49"/>
      <c r="L115" s="49"/>
      <c r="N115" s="49" t="b">
        <f>indexTable[[#This Row],[Labour]]=I115</f>
        <v>1</v>
      </c>
      <c r="O115" s="49" t="b">
        <f t="shared" si="0"/>
        <v>1</v>
      </c>
      <c r="P115" s="49" t="b">
        <f t="shared" si="1"/>
        <v>1</v>
      </c>
      <c r="Q115" s="49" t="b">
        <f t="shared" si="1"/>
        <v>1</v>
      </c>
    </row>
    <row r="116" spans="1:18">
      <c r="A116" s="4"/>
      <c r="B116" t="s">
        <v>23</v>
      </c>
      <c r="C116" s="49">
        <v>517.43581782750221</v>
      </c>
      <c r="D116" s="49">
        <v>112.47845053565939</v>
      </c>
      <c r="E116" s="49">
        <v>113.68746999999991</v>
      </c>
      <c r="F116" s="49">
        <v>122.89878280190646</v>
      </c>
      <c r="G116" s="49"/>
      <c r="I116" s="49">
        <v>517.43581782750221</v>
      </c>
      <c r="J116" s="49">
        <v>112.47845053565939</v>
      </c>
      <c r="K116" s="49">
        <v>113.68746999999991</v>
      </c>
      <c r="L116" s="49">
        <v>122.89878280190646</v>
      </c>
      <c r="N116" s="49" t="b">
        <f>indexTable[[#This Row],[Labour]]=I116</f>
        <v>1</v>
      </c>
      <c r="O116" s="49" t="b">
        <f t="shared" si="0"/>
        <v>1</v>
      </c>
      <c r="P116" s="49" t="b">
        <f t="shared" si="1"/>
        <v>1</v>
      </c>
      <c r="Q116" s="49" t="b">
        <f t="shared" si="1"/>
        <v>1</v>
      </c>
    </row>
    <row r="117" spans="1:18">
      <c r="A117" s="4">
        <v>2021.05</v>
      </c>
      <c r="B117" t="s">
        <v>24</v>
      </c>
      <c r="C117" s="49">
        <v>514.52547814384309</v>
      </c>
      <c r="D117" s="49">
        <v>111.41915</v>
      </c>
      <c r="E117" s="49">
        <v>113.68747</v>
      </c>
      <c r="F117" s="49">
        <v>121.428856</v>
      </c>
      <c r="G117" s="49"/>
      <c r="I117" s="49">
        <v>514.52547814384309</v>
      </c>
      <c r="J117" s="49">
        <v>111.41915</v>
      </c>
      <c r="K117" s="49">
        <v>113.68747</v>
      </c>
      <c r="L117" s="49">
        <v>121.428856</v>
      </c>
      <c r="N117" s="49" t="b">
        <f>indexTable[[#This Row],[Labour]]=I117</f>
        <v>1</v>
      </c>
      <c r="O117" s="49" t="b">
        <f t="shared" si="0"/>
        <v>1</v>
      </c>
      <c r="P117" s="49" t="b">
        <f t="shared" si="1"/>
        <v>1</v>
      </c>
      <c r="Q117" s="49" t="b">
        <f t="shared" si="1"/>
        <v>1</v>
      </c>
    </row>
    <row r="118" spans="1:18">
      <c r="A118" s="4">
        <v>2021.06</v>
      </c>
      <c r="B118" t="s">
        <v>25</v>
      </c>
      <c r="C118" s="49">
        <v>515.84706404692679</v>
      </c>
      <c r="D118" s="49">
        <v>111.89505</v>
      </c>
      <c r="E118" s="49">
        <v>113.68747</v>
      </c>
      <c r="F118" s="49">
        <v>122.31238999999999</v>
      </c>
      <c r="G118" s="49"/>
      <c r="I118" s="49">
        <v>515.84706404692679</v>
      </c>
      <c r="J118" s="49">
        <v>111.89505</v>
      </c>
      <c r="K118" s="49">
        <v>113.68747</v>
      </c>
      <c r="L118" s="49">
        <v>122.31238999999999</v>
      </c>
      <c r="N118" s="49" t="b">
        <f>indexTable[[#This Row],[Labour]]=I118</f>
        <v>1</v>
      </c>
      <c r="O118" s="49" t="b">
        <f t="shared" si="0"/>
        <v>1</v>
      </c>
      <c r="P118" s="49" t="b">
        <f t="shared" si="1"/>
        <v>1</v>
      </c>
      <c r="Q118" s="49" t="b">
        <f t="shared" si="1"/>
        <v>1</v>
      </c>
    </row>
    <row r="119" spans="1:18">
      <c r="A119" s="4">
        <v>2021.07</v>
      </c>
      <c r="B119" t="s">
        <v>26</v>
      </c>
      <c r="C119" s="49">
        <v>521.96528063896278</v>
      </c>
      <c r="D119" s="49">
        <v>114.13984000000001</v>
      </c>
      <c r="E119" s="49">
        <v>113.68747</v>
      </c>
      <c r="F119" s="49">
        <v>124.98284</v>
      </c>
      <c r="G119" s="49"/>
      <c r="I119" s="49">
        <v>521.96528063896278</v>
      </c>
      <c r="J119" s="49">
        <v>114.13984000000001</v>
      </c>
      <c r="K119" s="49">
        <v>113.68747</v>
      </c>
      <c r="L119" s="49">
        <v>124.98284</v>
      </c>
      <c r="N119" s="49" t="b">
        <f>indexTable[[#This Row],[Labour]]=I119</f>
        <v>1</v>
      </c>
      <c r="O119" s="49" t="b">
        <f t="shared" si="0"/>
        <v>1</v>
      </c>
      <c r="P119" s="49" t="b">
        <f t="shared" si="1"/>
        <v>1</v>
      </c>
      <c r="Q119" s="49" t="b">
        <f t="shared" si="1"/>
        <v>1</v>
      </c>
    </row>
    <row r="120" spans="1:18" s="48" customFormat="1">
      <c r="A120" s="49"/>
      <c r="C120" s="49"/>
      <c r="D120" s="49"/>
      <c r="E120" s="49"/>
      <c r="F120" s="49"/>
      <c r="G120" s="49"/>
      <c r="I120" s="49"/>
      <c r="J120" s="49"/>
      <c r="K120" s="49"/>
      <c r="L120" s="49"/>
      <c r="N120" s="49" t="b">
        <f>indexTable[[#This Row],[Labour]]=I120</f>
        <v>1</v>
      </c>
      <c r="O120" s="49" t="b">
        <f t="shared" si="0"/>
        <v>1</v>
      </c>
      <c r="P120" s="49" t="b">
        <f t="shared" si="1"/>
        <v>1</v>
      </c>
      <c r="Q120" s="49" t="b">
        <f t="shared" si="1"/>
        <v>1</v>
      </c>
    </row>
    <row r="121" spans="1:18">
      <c r="A121" s="4"/>
      <c r="B121" t="s">
        <v>48</v>
      </c>
      <c r="C121" s="49"/>
      <c r="D121" s="49"/>
      <c r="E121" s="49"/>
      <c r="F121" s="49"/>
      <c r="G121" s="49"/>
      <c r="N121" s="49" t="b">
        <f>indexTable[[#This Row],[Labour]]=I121</f>
        <v>1</v>
      </c>
      <c r="O121" s="49" t="b">
        <f t="shared" si="0"/>
        <v>1</v>
      </c>
      <c r="P121" s="49" t="b">
        <f t="shared" si="1"/>
        <v>1</v>
      </c>
      <c r="Q121" s="49" t="b">
        <f t="shared" si="1"/>
        <v>1</v>
      </c>
    </row>
    <row r="122" spans="1:18">
      <c r="A122" s="4"/>
      <c r="B122" t="s">
        <v>11</v>
      </c>
      <c r="C122" s="49">
        <v>523.74690026221128</v>
      </c>
      <c r="D122" s="49">
        <v>116.2268937496017</v>
      </c>
      <c r="E122" s="49">
        <v>120.54096000000003</v>
      </c>
      <c r="F122" s="49">
        <v>128.62719240192527</v>
      </c>
      <c r="G122" s="49"/>
      <c r="I122" s="49">
        <v>523.74690026221128</v>
      </c>
      <c r="J122" s="49">
        <v>116.2268937496017</v>
      </c>
      <c r="K122" s="49">
        <v>120.54096000000003</v>
      </c>
      <c r="L122" s="49">
        <v>128.62719240192527</v>
      </c>
      <c r="N122" s="49" t="b">
        <f>indexTable[[#This Row],[Labour]]=I122</f>
        <v>1</v>
      </c>
      <c r="O122" s="49" t="b">
        <f t="shared" si="0"/>
        <v>1</v>
      </c>
      <c r="P122" s="49" t="b">
        <f t="shared" si="1"/>
        <v>1</v>
      </c>
      <c r="Q122" s="49" t="b">
        <f t="shared" si="1"/>
        <v>1</v>
      </c>
    </row>
    <row r="123" spans="1:18">
      <c r="A123" s="4">
        <v>2021.08</v>
      </c>
      <c r="B123" t="s">
        <v>12</v>
      </c>
      <c r="C123" s="49">
        <v>523.74690026221117</v>
      </c>
      <c r="D123" s="49">
        <v>116.11561</v>
      </c>
      <c r="E123" s="49">
        <v>120.54096</v>
      </c>
      <c r="F123" s="49">
        <v>127.78157</v>
      </c>
      <c r="G123" s="49"/>
      <c r="I123" s="49">
        <v>523.74690026221117</v>
      </c>
      <c r="J123" s="49">
        <v>116.11561</v>
      </c>
      <c r="K123" s="49">
        <v>120.54096</v>
      </c>
      <c r="L123" s="49">
        <v>127.78157</v>
      </c>
      <c r="N123" s="49" t="b">
        <f>indexTable[[#This Row],[Labour]]=I123</f>
        <v>1</v>
      </c>
      <c r="O123" s="49" t="b">
        <f t="shared" si="0"/>
        <v>1</v>
      </c>
      <c r="P123" s="49" t="b">
        <f t="shared" si="1"/>
        <v>1</v>
      </c>
      <c r="Q123" s="49" t="b">
        <f t="shared" si="1"/>
        <v>1</v>
      </c>
    </row>
    <row r="124" spans="1:18">
      <c r="A124" s="4">
        <v>2021.09</v>
      </c>
      <c r="B124" t="s">
        <v>13</v>
      </c>
      <c r="C124" s="49">
        <v>523.74690026221117</v>
      </c>
      <c r="D124" s="49">
        <v>116.20729</v>
      </c>
      <c r="E124" s="49">
        <v>120.54096</v>
      </c>
      <c r="F124" s="49">
        <v>128.15424999999999</v>
      </c>
      <c r="G124" s="49"/>
      <c r="I124" s="49">
        <v>523.74690026221117</v>
      </c>
      <c r="J124" s="49">
        <v>116.20729</v>
      </c>
      <c r="K124" s="49">
        <v>120.54096</v>
      </c>
      <c r="L124" s="49">
        <v>128.15424999999999</v>
      </c>
      <c r="N124" s="49" t="b">
        <f>indexTable[[#This Row],[Labour]]=I124</f>
        <v>1</v>
      </c>
      <c r="O124" s="49" t="b">
        <f t="shared" si="0"/>
        <v>1</v>
      </c>
      <c r="P124" s="49" t="b">
        <f t="shared" si="1"/>
        <v>1</v>
      </c>
      <c r="Q124" s="49" t="b">
        <f t="shared" si="1"/>
        <v>1</v>
      </c>
    </row>
    <row r="125" spans="1:18">
      <c r="A125" s="4">
        <v>2021.1</v>
      </c>
      <c r="B125" t="s">
        <v>14</v>
      </c>
      <c r="C125" s="49">
        <v>523.74690026221117</v>
      </c>
      <c r="D125" s="49">
        <v>116.35791</v>
      </c>
      <c r="E125" s="49">
        <v>120.54096</v>
      </c>
      <c r="F125" s="49">
        <v>129.95624000000001</v>
      </c>
      <c r="G125" s="49"/>
      <c r="I125" s="49">
        <v>523.74690026221117</v>
      </c>
      <c r="J125" s="49">
        <v>116.35791</v>
      </c>
      <c r="K125" s="49">
        <v>120.54096</v>
      </c>
      <c r="L125" s="49">
        <v>129.95624000000001</v>
      </c>
      <c r="N125" s="49" t="b">
        <f>indexTable[[#This Row],[Labour]]=I125</f>
        <v>1</v>
      </c>
      <c r="O125" s="49" t="b">
        <f t="shared" si="0"/>
        <v>1</v>
      </c>
      <c r="P125" s="49" t="b">
        <f t="shared" si="1"/>
        <v>1</v>
      </c>
      <c r="Q125" s="49" t="b">
        <f t="shared" si="1"/>
        <v>1</v>
      </c>
      <c r="R125" s="48"/>
    </row>
    <row r="126" spans="1:18" s="48" customFormat="1">
      <c r="A126" s="49"/>
      <c r="C126" s="49"/>
      <c r="D126" s="49"/>
      <c r="E126" s="49"/>
      <c r="F126" s="49"/>
      <c r="G126" s="49"/>
      <c r="I126" s="49"/>
      <c r="J126" s="49"/>
      <c r="K126" s="49"/>
      <c r="L126" s="49"/>
      <c r="N126" s="49" t="b">
        <f>indexTable[[#This Row],[Labour]]=I126</f>
        <v>1</v>
      </c>
      <c r="O126" s="49" t="b">
        <f t="shared" si="0"/>
        <v>1</v>
      </c>
      <c r="P126" s="49" t="b">
        <f t="shared" si="1"/>
        <v>1</v>
      </c>
      <c r="Q126" s="49" t="b">
        <f t="shared" si="1"/>
        <v>1</v>
      </c>
    </row>
    <row r="127" spans="1:18">
      <c r="A127" s="4"/>
      <c r="B127" t="s">
        <v>15</v>
      </c>
      <c r="C127" s="49">
        <v>526.14143353014833</v>
      </c>
      <c r="D127" s="49">
        <v>125.5948204089473</v>
      </c>
      <c r="E127" s="49">
        <v>122.78873999999995</v>
      </c>
      <c r="F127" s="49">
        <v>131.6314048476911</v>
      </c>
      <c r="G127" s="49"/>
      <c r="I127" s="49">
        <v>526.14143353014833</v>
      </c>
      <c r="J127" s="49">
        <v>125.5948204089473</v>
      </c>
      <c r="K127" s="49">
        <v>122.78873999999995</v>
      </c>
      <c r="L127" s="49">
        <v>131.6314048476911</v>
      </c>
      <c r="N127" s="49" t="b">
        <f>indexTable[[#This Row],[Labour]]=I127</f>
        <v>1</v>
      </c>
      <c r="O127" s="49" t="b">
        <f t="shared" si="0"/>
        <v>1</v>
      </c>
      <c r="P127" s="49" t="b">
        <f t="shared" si="1"/>
        <v>1</v>
      </c>
      <c r="Q127" s="49" t="b">
        <f t="shared" si="1"/>
        <v>1</v>
      </c>
      <c r="R127" s="48"/>
    </row>
    <row r="128" spans="1:18">
      <c r="A128" s="4">
        <v>2021.11</v>
      </c>
      <c r="B128" t="s">
        <v>16</v>
      </c>
      <c r="C128" s="49">
        <v>524.63804289344193</v>
      </c>
      <c r="D128" s="49">
        <v>125.55852</v>
      </c>
      <c r="E128" s="49">
        <v>122.78874</v>
      </c>
      <c r="F128" s="49">
        <v>133.64684</v>
      </c>
      <c r="G128" s="49"/>
      <c r="I128" s="49">
        <v>524.63804289344193</v>
      </c>
      <c r="J128" s="49">
        <v>125.55852</v>
      </c>
      <c r="K128" s="49">
        <v>122.78874</v>
      </c>
      <c r="L128" s="49">
        <v>133.64684</v>
      </c>
      <c r="N128" s="49" t="b">
        <f>indexTable[[#This Row],[Labour]]=I128</f>
        <v>1</v>
      </c>
      <c r="O128" s="49" t="b">
        <f t="shared" si="0"/>
        <v>1</v>
      </c>
      <c r="P128" s="49" t="b">
        <f t="shared" si="1"/>
        <v>1</v>
      </c>
      <c r="Q128" s="49" t="b">
        <f t="shared" si="1"/>
        <v>1</v>
      </c>
    </row>
    <row r="129" spans="1:18">
      <c r="A129" s="4">
        <v>2021.12</v>
      </c>
      <c r="B129" t="s">
        <v>17</v>
      </c>
      <c r="C129" s="49">
        <v>526.8947436082924</v>
      </c>
      <c r="D129" s="49">
        <v>125.35019</v>
      </c>
      <c r="E129" s="49">
        <v>122.78874</v>
      </c>
      <c r="F129" s="49">
        <v>131.78209000000001</v>
      </c>
      <c r="G129" s="49"/>
      <c r="I129" s="49">
        <v>526.8947436082924</v>
      </c>
      <c r="J129" s="49">
        <v>125.35019</v>
      </c>
      <c r="K129" s="49">
        <v>122.78874</v>
      </c>
      <c r="L129" s="49">
        <v>131.78209000000001</v>
      </c>
      <c r="N129" s="49" t="b">
        <f>indexTable[[#This Row],[Labour]]=I129</f>
        <v>1</v>
      </c>
      <c r="O129" s="49" t="b">
        <f t="shared" si="0"/>
        <v>1</v>
      </c>
      <c r="P129" s="49" t="b">
        <f t="shared" si="1"/>
        <v>1</v>
      </c>
      <c r="Q129" s="49" t="b">
        <f t="shared" si="1"/>
        <v>1</v>
      </c>
      <c r="R129" s="48"/>
    </row>
    <row r="130" spans="1:18">
      <c r="A130" s="4">
        <v>2022.01</v>
      </c>
      <c r="B130" t="s">
        <v>18</v>
      </c>
      <c r="C130" s="49">
        <v>526.8947436082924</v>
      </c>
      <c r="D130" s="49">
        <v>125.87631</v>
      </c>
      <c r="E130" s="49">
        <v>122.78874</v>
      </c>
      <c r="F130" s="49">
        <v>129.49812</v>
      </c>
      <c r="G130" s="49"/>
      <c r="I130" s="49">
        <v>526.8947436082924</v>
      </c>
      <c r="J130" s="49">
        <v>125.87631</v>
      </c>
      <c r="K130" s="49">
        <v>122.78874</v>
      </c>
      <c r="L130" s="49">
        <v>129.49812</v>
      </c>
      <c r="N130" s="49" t="b">
        <f>indexTable[[#This Row],[Labour]]=I130</f>
        <v>1</v>
      </c>
      <c r="O130" s="49" t="b">
        <f t="shared" si="0"/>
        <v>1</v>
      </c>
      <c r="P130" s="49" t="b">
        <f t="shared" si="1"/>
        <v>1</v>
      </c>
      <c r="Q130" s="49" t="b">
        <f t="shared" si="1"/>
        <v>1</v>
      </c>
      <c r="R130" s="48"/>
    </row>
    <row r="131" spans="1:18" s="48" customFormat="1">
      <c r="A131" s="49"/>
      <c r="C131" s="49"/>
      <c r="D131" s="49"/>
      <c r="E131" s="49"/>
      <c r="F131" s="49"/>
      <c r="G131" s="49"/>
      <c r="I131" s="49"/>
      <c r="J131" s="49"/>
      <c r="K131" s="49"/>
      <c r="L131" s="49"/>
      <c r="N131" s="49" t="b">
        <f>indexTable[[#This Row],[Labour]]=I131</f>
        <v>1</v>
      </c>
      <c r="O131" s="49" t="b">
        <f t="shared" si="0"/>
        <v>1</v>
      </c>
      <c r="P131" s="49" t="b">
        <f t="shared" si="1"/>
        <v>1</v>
      </c>
      <c r="Q131" s="49" t="b">
        <f t="shared" si="1"/>
        <v>1</v>
      </c>
    </row>
    <row r="132" spans="1:18">
      <c r="A132" s="4"/>
      <c r="B132" t="s">
        <v>19</v>
      </c>
      <c r="C132" s="49">
        <v>533.88628278127123</v>
      </c>
      <c r="D132" s="49">
        <v>132.87754179664594</v>
      </c>
      <c r="E132" s="49">
        <v>122.931854</v>
      </c>
      <c r="F132" s="49">
        <v>134.1003472888475</v>
      </c>
      <c r="G132" s="49"/>
      <c r="I132" s="49">
        <v>533.88628278127123</v>
      </c>
      <c r="J132" s="49">
        <v>132.87754179664594</v>
      </c>
      <c r="K132" s="49">
        <v>122.931854</v>
      </c>
      <c r="L132" s="49">
        <v>134.1003472888475</v>
      </c>
      <c r="N132" s="49" t="b">
        <f>indexTable[[#This Row],[Labour]]=I132</f>
        <v>1</v>
      </c>
      <c r="O132" s="49" t="b">
        <f t="shared" si="0"/>
        <v>1</v>
      </c>
      <c r="P132" s="49" t="b">
        <f t="shared" si="1"/>
        <v>1</v>
      </c>
      <c r="Q132" s="49" t="b">
        <f t="shared" si="1"/>
        <v>1</v>
      </c>
    </row>
    <row r="133" spans="1:18">
      <c r="A133" s="4">
        <v>2022.02</v>
      </c>
      <c r="B133" t="s">
        <v>20</v>
      </c>
      <c r="C133" s="49">
        <v>526.8947436082924</v>
      </c>
      <c r="D133" s="49">
        <v>127.536804</v>
      </c>
      <c r="E133" s="49">
        <v>122.931854</v>
      </c>
      <c r="F133" s="49">
        <v>130.79031000000001</v>
      </c>
      <c r="G133" s="49"/>
      <c r="I133" s="49">
        <v>526.8947436082924</v>
      </c>
      <c r="J133" s="49">
        <v>127.536804</v>
      </c>
      <c r="K133" s="49">
        <v>122.931854</v>
      </c>
      <c r="L133" s="49">
        <v>130.79031000000001</v>
      </c>
      <c r="N133" s="49" t="b">
        <f>indexTable[[#This Row],[Labour]]=I133</f>
        <v>1</v>
      </c>
      <c r="O133" s="49" t="b">
        <f t="shared" si="0"/>
        <v>1</v>
      </c>
      <c r="P133" s="49" t="b">
        <f t="shared" si="1"/>
        <v>1</v>
      </c>
      <c r="Q133" s="49" t="b">
        <f t="shared" si="1"/>
        <v>1</v>
      </c>
    </row>
    <row r="134" spans="1:18">
      <c r="A134" s="4">
        <v>2022.03</v>
      </c>
      <c r="B134" t="s">
        <v>21</v>
      </c>
      <c r="C134" s="49">
        <v>533.10235907247784</v>
      </c>
      <c r="D134" s="49">
        <v>134.43776</v>
      </c>
      <c r="E134" s="49">
        <v>122.931854</v>
      </c>
      <c r="F134" s="49">
        <v>134.34395000000001</v>
      </c>
      <c r="G134" s="49"/>
      <c r="I134" s="49">
        <v>533.10235907247784</v>
      </c>
      <c r="J134" s="49">
        <v>134.43776</v>
      </c>
      <c r="K134" s="49">
        <v>122.931854</v>
      </c>
      <c r="L134" s="49">
        <v>134.34395000000001</v>
      </c>
      <c r="N134" s="49" t="b">
        <f>indexTable[[#This Row],[Labour]]=I134</f>
        <v>1</v>
      </c>
      <c r="O134" s="49" t="b">
        <f t="shared" si="0"/>
        <v>1</v>
      </c>
      <c r="P134" s="49" t="b">
        <f t="shared" si="1"/>
        <v>1</v>
      </c>
      <c r="Q134" s="49" t="b">
        <f t="shared" si="1"/>
        <v>1</v>
      </c>
    </row>
    <row r="135" spans="1:18">
      <c r="A135" s="4">
        <v>2022.04</v>
      </c>
      <c r="B135" t="s">
        <v>22</v>
      </c>
      <c r="C135" s="49">
        <v>541.76608888158205</v>
      </c>
      <c r="D135" s="49">
        <v>136.83524</v>
      </c>
      <c r="E135" s="49">
        <v>122.931854</v>
      </c>
      <c r="F135" s="49">
        <v>137.24484000000001</v>
      </c>
      <c r="G135" s="49"/>
      <c r="I135" s="49">
        <v>541.76608888158205</v>
      </c>
      <c r="J135" s="49">
        <v>136.83524</v>
      </c>
      <c r="K135" s="49">
        <v>122.931854</v>
      </c>
      <c r="L135" s="49">
        <v>137.24484000000001</v>
      </c>
      <c r="N135" s="49" t="b">
        <f>indexTable[[#This Row],[Labour]]=I135</f>
        <v>1</v>
      </c>
      <c r="O135" s="49" t="b">
        <f t="shared" si="0"/>
        <v>1</v>
      </c>
      <c r="P135" s="49" t="b">
        <f t="shared" si="1"/>
        <v>1</v>
      </c>
      <c r="Q135" s="49" t="b">
        <f t="shared" si="1"/>
        <v>1</v>
      </c>
    </row>
    <row r="136" spans="1:18" s="48" customFormat="1">
      <c r="A136" s="49"/>
      <c r="C136" s="49"/>
      <c r="D136" s="49"/>
      <c r="E136" s="49"/>
      <c r="F136" s="49"/>
      <c r="G136" s="49"/>
      <c r="I136" s="49"/>
      <c r="J136" s="49"/>
      <c r="K136" s="49"/>
      <c r="L136" s="49"/>
      <c r="N136" s="49" t="b">
        <f>indexTable[[#This Row],[Labour]]=I136</f>
        <v>1</v>
      </c>
      <c r="O136" s="49" t="b">
        <f t="shared" si="0"/>
        <v>1</v>
      </c>
      <c r="P136" s="49" t="b">
        <f t="shared" si="1"/>
        <v>1</v>
      </c>
      <c r="Q136" s="49" t="b">
        <f t="shared" si="1"/>
        <v>1</v>
      </c>
    </row>
    <row r="137" spans="1:18">
      <c r="A137" s="4"/>
      <c r="B137" t="s">
        <v>23</v>
      </c>
      <c r="C137" s="49">
        <v>544.67814932224121</v>
      </c>
      <c r="D137" s="49">
        <v>139.74958351802152</v>
      </c>
      <c r="E137" s="49">
        <v>124.46801999999997</v>
      </c>
      <c r="F137" s="49">
        <v>140.73638180980547</v>
      </c>
      <c r="G137" s="49"/>
      <c r="I137" s="49">
        <v>544.67814932224121</v>
      </c>
      <c r="J137" s="49">
        <v>139.74958351802152</v>
      </c>
      <c r="K137" s="49">
        <v>124.46801999999997</v>
      </c>
      <c r="L137" s="49">
        <v>140.73638180980547</v>
      </c>
      <c r="N137" s="49" t="b">
        <f>indexTable[[#This Row],[Labour]]=I137</f>
        <v>1</v>
      </c>
      <c r="O137" s="49" t="b">
        <f t="shared" si="0"/>
        <v>1</v>
      </c>
      <c r="P137" s="49" t="b">
        <f t="shared" si="1"/>
        <v>1</v>
      </c>
      <c r="Q137" s="49" t="b">
        <f t="shared" si="1"/>
        <v>1</v>
      </c>
    </row>
    <row r="138" spans="1:18">
      <c r="A138" s="4">
        <v>2022.05</v>
      </c>
      <c r="B138" t="s">
        <v>24</v>
      </c>
      <c r="C138" s="49">
        <v>541.81853276662503</v>
      </c>
      <c r="D138" s="49">
        <v>141.30508</v>
      </c>
      <c r="E138" s="49">
        <v>124.46802</v>
      </c>
      <c r="F138" s="49">
        <v>140.92689999999999</v>
      </c>
      <c r="G138" s="49"/>
      <c r="I138" s="49">
        <v>541.81853276662514</v>
      </c>
      <c r="J138" s="49">
        <v>141.30508</v>
      </c>
      <c r="K138" s="49">
        <v>124.46802</v>
      </c>
      <c r="L138" s="49">
        <v>140.92689999999999</v>
      </c>
      <c r="N138" s="49" t="b">
        <f>indexTable[[#This Row],[Labour]]=I138</f>
        <v>1</v>
      </c>
      <c r="O138" s="49" t="b">
        <f t="shared" si="0"/>
        <v>1</v>
      </c>
      <c r="P138" s="49" t="b">
        <f t="shared" si="1"/>
        <v>1</v>
      </c>
      <c r="Q138" s="49" t="b">
        <f t="shared" si="1"/>
        <v>1</v>
      </c>
    </row>
    <row r="139" spans="1:18">
      <c r="A139" s="4">
        <v>2022.06</v>
      </c>
      <c r="B139" t="s">
        <v>25</v>
      </c>
      <c r="C139" s="49">
        <v>541.81853276662503</v>
      </c>
      <c r="D139" s="49">
        <v>140.15342999999999</v>
      </c>
      <c r="E139" s="49">
        <v>124.46802</v>
      </c>
      <c r="F139" s="49">
        <v>140.37593000000001</v>
      </c>
      <c r="G139" s="49"/>
      <c r="I139" s="49">
        <v>541.81853276662514</v>
      </c>
      <c r="J139" s="49">
        <v>140.15342999999999</v>
      </c>
      <c r="K139" s="49">
        <v>124.46802</v>
      </c>
      <c r="L139" s="49">
        <v>140.37593000000001</v>
      </c>
      <c r="N139" s="49" t="b">
        <f>indexTable[[#This Row],[Labour]]=I139</f>
        <v>1</v>
      </c>
      <c r="O139" s="49" t="b">
        <f t="shared" si="0"/>
        <v>1</v>
      </c>
      <c r="P139" s="49" t="b">
        <f t="shared" si="1"/>
        <v>1</v>
      </c>
      <c r="Q139" s="49" t="b">
        <f t="shared" si="1"/>
        <v>1</v>
      </c>
    </row>
    <row r="140" spans="1:18">
      <c r="A140" s="49">
        <v>2022.07</v>
      </c>
      <c r="B140" t="s">
        <v>26</v>
      </c>
      <c r="C140" s="49">
        <v>550.44273964787089</v>
      </c>
      <c r="D140" s="49">
        <v>137.81296</v>
      </c>
      <c r="E140" s="49">
        <v>124.46802</v>
      </c>
      <c r="F140" s="49">
        <v>140.90701000000001</v>
      </c>
      <c r="G140" s="49"/>
      <c r="I140" s="49">
        <v>550.44273964787089</v>
      </c>
      <c r="J140" s="49">
        <v>137.81296</v>
      </c>
      <c r="K140" s="49">
        <v>124.46802</v>
      </c>
      <c r="L140" s="49">
        <v>140.90701000000001</v>
      </c>
      <c r="N140" s="49" t="b">
        <f>indexTable[[#This Row],[Labour]]=I140</f>
        <v>1</v>
      </c>
      <c r="O140" s="49" t="b">
        <f t="shared" si="0"/>
        <v>1</v>
      </c>
      <c r="P140" s="49" t="b">
        <f t="shared" si="1"/>
        <v>1</v>
      </c>
      <c r="Q140" s="49" t="b">
        <f t="shared" si="1"/>
        <v>1</v>
      </c>
    </row>
    <row r="141" spans="1:18" s="48" customFormat="1">
      <c r="A141" s="49"/>
      <c r="C141" s="49"/>
      <c r="D141" s="49"/>
      <c r="E141" s="49"/>
      <c r="F141" s="49"/>
      <c r="G141" s="49"/>
      <c r="I141" s="49"/>
      <c r="J141" s="49"/>
      <c r="K141" s="49"/>
      <c r="L141" s="49"/>
      <c r="N141" s="49" t="b">
        <f>indexTable[[#This Row],[Labour]]=I141</f>
        <v>1</v>
      </c>
      <c r="O141" s="49" t="b">
        <f t="shared" si="0"/>
        <v>1</v>
      </c>
      <c r="P141" s="49" t="b">
        <f t="shared" si="1"/>
        <v>1</v>
      </c>
      <c r="Q141" s="49" t="b">
        <f t="shared" si="1"/>
        <v>1</v>
      </c>
    </row>
    <row r="142" spans="1:18">
      <c r="A142" s="49"/>
      <c r="B142" s="48" t="s">
        <v>77</v>
      </c>
      <c r="C142" s="49"/>
      <c r="D142" s="49"/>
      <c r="E142" s="49"/>
      <c r="F142" s="49"/>
      <c r="G142" s="49"/>
      <c r="N142" s="49" t="b">
        <f>indexTable[[#This Row],[Labour]]=I142</f>
        <v>1</v>
      </c>
      <c r="O142" s="49" t="b">
        <f t="shared" si="0"/>
        <v>1</v>
      </c>
      <c r="P142" s="49" t="b">
        <f t="shared" si="1"/>
        <v>1</v>
      </c>
      <c r="Q142" s="49" t="b">
        <f t="shared" si="1"/>
        <v>1</v>
      </c>
    </row>
    <row r="143" spans="1:18">
      <c r="A143" s="49"/>
      <c r="B143" s="48" t="s">
        <v>11</v>
      </c>
      <c r="C143" s="49">
        <v>572.05388386667619</v>
      </c>
      <c r="D143" s="49">
        <v>138.6954202222505</v>
      </c>
      <c r="E143" s="49">
        <v>130.10400000000001</v>
      </c>
      <c r="F143" s="49">
        <v>145.9090576814161</v>
      </c>
      <c r="G143" s="49"/>
      <c r="I143" s="49">
        <v>572.05388386667619</v>
      </c>
      <c r="J143" s="49">
        <v>138.6954202222505</v>
      </c>
      <c r="K143" s="49">
        <v>130.10400000000001</v>
      </c>
      <c r="L143" s="49">
        <v>145.9090576814161</v>
      </c>
      <c r="N143" s="49" t="b">
        <f>indexTable[[#This Row],[Labour]]=I143</f>
        <v>1</v>
      </c>
      <c r="O143" s="49" t="b">
        <f t="shared" si="0"/>
        <v>1</v>
      </c>
      <c r="P143" s="49" t="b">
        <f t="shared" si="1"/>
        <v>1</v>
      </c>
      <c r="Q143" s="49" t="b">
        <f t="shared" si="1"/>
        <v>1</v>
      </c>
    </row>
    <row r="144" spans="1:18">
      <c r="A144" s="49">
        <v>2022.08</v>
      </c>
      <c r="B144" t="s">
        <v>12</v>
      </c>
      <c r="C144" s="49">
        <v>571.04259181258897</v>
      </c>
      <c r="D144" s="49">
        <v>138.59886</v>
      </c>
      <c r="E144" s="49">
        <v>130.10400000000001</v>
      </c>
      <c r="F144" s="49">
        <v>143.85096999999999</v>
      </c>
      <c r="G144" s="49"/>
      <c r="I144" s="49">
        <v>571.04259181258897</v>
      </c>
      <c r="J144" s="49">
        <v>138.59886</v>
      </c>
      <c r="K144" s="49">
        <v>130.10400000000001</v>
      </c>
      <c r="L144" s="49">
        <v>143.85096999999999</v>
      </c>
      <c r="N144" s="49" t="b">
        <f>indexTable[[#This Row],[Labour]]=I144</f>
        <v>1</v>
      </c>
      <c r="O144" s="49" t="b">
        <f t="shared" si="0"/>
        <v>1</v>
      </c>
      <c r="P144" s="49" t="b">
        <f t="shared" si="1"/>
        <v>1</v>
      </c>
      <c r="Q144" s="49" t="b">
        <f t="shared" si="1"/>
        <v>1</v>
      </c>
    </row>
    <row r="145" spans="1:18">
      <c r="A145" s="49">
        <v>2022.09</v>
      </c>
      <c r="B145" t="s">
        <v>13</v>
      </c>
      <c r="C145" s="49">
        <v>572.5602013037668</v>
      </c>
      <c r="D145" s="49">
        <v>138.70862</v>
      </c>
      <c r="E145" s="49">
        <v>130.10400000000001</v>
      </c>
      <c r="F145" s="49">
        <v>146.10167999999999</v>
      </c>
      <c r="G145" s="49"/>
      <c r="I145" s="49">
        <v>572.5602013037668</v>
      </c>
      <c r="J145" s="49">
        <v>138.70862</v>
      </c>
      <c r="K145" s="49">
        <v>130.10400000000001</v>
      </c>
      <c r="L145" s="49">
        <v>146.10167999999999</v>
      </c>
      <c r="N145" s="49" t="b">
        <f>indexTable[[#This Row],[Labour]]=I145</f>
        <v>1</v>
      </c>
      <c r="O145" s="49" t="b">
        <f t="shared" si="0"/>
        <v>1</v>
      </c>
      <c r="P145" s="49" t="b">
        <f t="shared" si="1"/>
        <v>1</v>
      </c>
      <c r="Q145" s="49" t="b">
        <f t="shared" si="1"/>
        <v>1</v>
      </c>
    </row>
    <row r="146" spans="1:18">
      <c r="A146" s="49">
        <v>2022.1</v>
      </c>
      <c r="B146" t="s">
        <v>14</v>
      </c>
      <c r="C146" s="49">
        <v>572.5602013037668</v>
      </c>
      <c r="D146" s="49">
        <v>138.77884</v>
      </c>
      <c r="E146" s="49">
        <v>130.10400000000001</v>
      </c>
      <c r="F146" s="49">
        <v>147.80146999999999</v>
      </c>
      <c r="G146" s="49"/>
      <c r="I146" s="49">
        <v>572.5602013037668</v>
      </c>
      <c r="J146" s="49">
        <v>138.77884</v>
      </c>
      <c r="K146" s="49">
        <v>130.10400000000001</v>
      </c>
      <c r="L146" s="49">
        <v>147.80146999999999</v>
      </c>
      <c r="N146" s="49" t="b">
        <f>indexTable[[#This Row],[Labour]]=I146</f>
        <v>1</v>
      </c>
      <c r="O146" s="49" t="b">
        <f t="shared" si="0"/>
        <v>1</v>
      </c>
      <c r="P146" s="49" t="b">
        <f t="shared" si="1"/>
        <v>1</v>
      </c>
      <c r="Q146" s="49" t="b">
        <f t="shared" si="1"/>
        <v>1</v>
      </c>
    </row>
    <row r="147" spans="1:18" s="48" customFormat="1">
      <c r="A147" s="49"/>
      <c r="C147" s="49"/>
      <c r="D147" s="49"/>
      <c r="E147" s="49"/>
      <c r="F147" s="49"/>
      <c r="G147" s="49"/>
      <c r="I147" s="49"/>
      <c r="J147" s="49"/>
      <c r="K147" s="49"/>
      <c r="L147" s="49"/>
      <c r="N147" s="49" t="b">
        <f>indexTable[[#This Row],[Labour]]=I147</f>
        <v>1</v>
      </c>
      <c r="O147" s="49" t="b">
        <f t="shared" si="0"/>
        <v>1</v>
      </c>
      <c r="P147" s="49" t="b">
        <f t="shared" si="1"/>
        <v>1</v>
      </c>
      <c r="Q147" s="49" t="b">
        <f t="shared" si="1"/>
        <v>1</v>
      </c>
    </row>
    <row r="148" spans="1:18">
      <c r="A148" s="49"/>
      <c r="B148" s="48" t="s">
        <v>15</v>
      </c>
      <c r="C148" s="49">
        <v>572.5602013037668</v>
      </c>
      <c r="D148" s="49">
        <v>139.43925911150944</v>
      </c>
      <c r="E148" s="49">
        <v>130.25603000000001</v>
      </c>
      <c r="F148" s="49">
        <v>144.34914012788002</v>
      </c>
      <c r="G148" s="49"/>
      <c r="I148" s="49">
        <v>572.5602013037668</v>
      </c>
      <c r="J148" s="49">
        <v>139.43925911150944</v>
      </c>
      <c r="K148" s="49">
        <v>130.25603000000001</v>
      </c>
      <c r="L148" s="49">
        <v>144.34914012788002</v>
      </c>
      <c r="N148" s="49" t="b">
        <f>indexTable[[#This Row],[Labour]]=I148</f>
        <v>1</v>
      </c>
      <c r="O148" s="49" t="b">
        <f t="shared" si="0"/>
        <v>1</v>
      </c>
      <c r="P148" s="49" t="b">
        <f t="shared" si="1"/>
        <v>1</v>
      </c>
      <c r="Q148" s="49" t="b">
        <f t="shared" si="1"/>
        <v>1</v>
      </c>
    </row>
    <row r="149" spans="1:18">
      <c r="A149" s="49">
        <v>2022.11</v>
      </c>
      <c r="B149" t="s">
        <v>16</v>
      </c>
      <c r="C149" s="49">
        <v>572.5602013037668</v>
      </c>
      <c r="D149" s="49">
        <v>140.49205000000001</v>
      </c>
      <c r="E149" s="49">
        <v>130.25603000000001</v>
      </c>
      <c r="F149" s="49">
        <v>147.03242</v>
      </c>
      <c r="G149" s="49"/>
      <c r="I149" s="49">
        <v>572.5602013037668</v>
      </c>
      <c r="J149" s="49">
        <v>140.49205000000001</v>
      </c>
      <c r="K149" s="49">
        <v>130.25603000000001</v>
      </c>
      <c r="L149" s="49">
        <v>147.03242</v>
      </c>
      <c r="N149" s="49" t="b">
        <f>indexTable[[#This Row],[Labour]]=I149</f>
        <v>1</v>
      </c>
      <c r="O149" s="49" t="b">
        <f t="shared" si="0"/>
        <v>1</v>
      </c>
      <c r="P149" s="49" t="b">
        <f t="shared" si="1"/>
        <v>1</v>
      </c>
      <c r="Q149" s="49" t="b">
        <f t="shared" si="1"/>
        <v>1</v>
      </c>
    </row>
    <row r="150" spans="1:18">
      <c r="A150" s="49">
        <v>2022.12</v>
      </c>
      <c r="B150" t="s">
        <v>17</v>
      </c>
      <c r="C150" s="49">
        <v>572.5602013037668</v>
      </c>
      <c r="D150" s="49">
        <v>138.52575999999999</v>
      </c>
      <c r="E150" s="49">
        <v>130.25603000000001</v>
      </c>
      <c r="F150" s="49">
        <v>143.84469999999999</v>
      </c>
      <c r="G150" s="49"/>
      <c r="I150" s="49">
        <v>572.5602013037668</v>
      </c>
      <c r="J150" s="49">
        <v>138.52575999999999</v>
      </c>
      <c r="K150" s="49">
        <v>130.25603000000001</v>
      </c>
      <c r="L150" s="49">
        <v>143.84469999999999</v>
      </c>
      <c r="N150" s="49" t="b">
        <f>indexTable[[#This Row],[Labour]]=I150</f>
        <v>1</v>
      </c>
      <c r="O150" s="49" t="b">
        <f t="shared" si="0"/>
        <v>1</v>
      </c>
      <c r="P150" s="49" t="b">
        <f t="shared" si="1"/>
        <v>1</v>
      </c>
      <c r="Q150" s="49" t="b">
        <f t="shared" si="1"/>
        <v>1</v>
      </c>
    </row>
    <row r="151" spans="1:18">
      <c r="A151" s="49">
        <v>2023.01</v>
      </c>
      <c r="B151" t="s">
        <v>18</v>
      </c>
      <c r="C151" s="49">
        <v>572.5602013037668</v>
      </c>
      <c r="D151" s="49">
        <v>139.30699000000001</v>
      </c>
      <c r="E151" s="49">
        <v>130.25603000000001</v>
      </c>
      <c r="F151" s="49">
        <v>142.21180000000001</v>
      </c>
      <c r="G151" s="49"/>
      <c r="I151" s="49">
        <v>572.5602013037668</v>
      </c>
      <c r="J151" s="49">
        <v>139.30699000000001</v>
      </c>
      <c r="K151" s="49">
        <v>130.25603000000001</v>
      </c>
      <c r="L151" s="49">
        <v>142.21180000000001</v>
      </c>
      <c r="N151" s="49" t="b">
        <f>indexTable[[#This Row],[Labour]]=I151</f>
        <v>1</v>
      </c>
      <c r="O151" s="49" t="b">
        <f t="shared" si="0"/>
        <v>1</v>
      </c>
      <c r="P151" s="49" t="b">
        <f t="shared" si="1"/>
        <v>1</v>
      </c>
      <c r="Q151" s="49" t="b">
        <f t="shared" si="1"/>
        <v>1</v>
      </c>
      <c r="R151" s="5"/>
    </row>
    <row r="152" spans="1:18" s="48" customFormat="1">
      <c r="A152" s="49"/>
      <c r="C152" s="49"/>
      <c r="D152" s="49"/>
      <c r="E152" s="49"/>
      <c r="F152" s="49"/>
      <c r="G152" s="49"/>
      <c r="I152" s="49"/>
      <c r="J152" s="49"/>
      <c r="K152" s="49"/>
      <c r="L152" s="49"/>
      <c r="N152" s="49" t="b">
        <f>indexTable[[#This Row],[Labour]]=I152</f>
        <v>1</v>
      </c>
      <c r="O152" s="49" t="b">
        <f t="shared" si="0"/>
        <v>1</v>
      </c>
      <c r="P152" s="49" t="b">
        <f t="shared" si="1"/>
        <v>1</v>
      </c>
      <c r="Q152" s="49" t="b">
        <f t="shared" si="1"/>
        <v>1</v>
      </c>
      <c r="R152" s="5"/>
    </row>
    <row r="153" spans="1:18" s="48" customFormat="1">
      <c r="A153" s="49"/>
      <c r="B153" s="48" t="s">
        <v>19</v>
      </c>
      <c r="C153" s="49">
        <v>573.88365922438061</v>
      </c>
      <c r="D153" s="49">
        <v>143.81366327481652</v>
      </c>
      <c r="E153" s="49">
        <v>132.56921</v>
      </c>
      <c r="F153" s="49">
        <v>144.07898493633493</v>
      </c>
      <c r="G153" s="49"/>
      <c r="I153" s="49">
        <v>573.88365922438061</v>
      </c>
      <c r="J153" s="49">
        <v>143.81366327481652</v>
      </c>
      <c r="K153" s="49">
        <v>132.56921</v>
      </c>
      <c r="L153" s="49">
        <v>144.07898493633493</v>
      </c>
      <c r="N153" s="49" t="b">
        <f>indexTable[[#This Row],[Labour]]=I153</f>
        <v>1</v>
      </c>
      <c r="O153" s="49" t="b">
        <f t="shared" si="0"/>
        <v>1</v>
      </c>
      <c r="P153" s="49" t="b">
        <f t="shared" si="1"/>
        <v>1</v>
      </c>
      <c r="Q153" s="49" t="b">
        <f t="shared" si="1"/>
        <v>1</v>
      </c>
      <c r="R153" s="5"/>
    </row>
    <row r="154" spans="1:18">
      <c r="A154" s="49">
        <v>2023.02</v>
      </c>
      <c r="B154" s="48" t="s">
        <v>20</v>
      </c>
      <c r="C154" s="49">
        <v>572.5602013037668</v>
      </c>
      <c r="D154" s="49">
        <v>142.93492000000001</v>
      </c>
      <c r="E154" s="49">
        <v>132.56921</v>
      </c>
      <c r="F154" s="49">
        <v>143.44319999999999</v>
      </c>
      <c r="G154" s="49"/>
      <c r="I154" s="49">
        <v>572.5602013037668</v>
      </c>
      <c r="J154" s="49">
        <v>142.93492000000001</v>
      </c>
      <c r="K154" s="49">
        <v>132.56921</v>
      </c>
      <c r="L154" s="49">
        <v>143.44319999999999</v>
      </c>
      <c r="M154" s="49"/>
      <c r="N154" s="49" t="b">
        <f>indexTable[[#This Row],[Labour]]=I154</f>
        <v>1</v>
      </c>
      <c r="O154" s="49" t="b">
        <f t="shared" si="0"/>
        <v>1</v>
      </c>
      <c r="P154" s="49" t="b">
        <f t="shared" si="1"/>
        <v>1</v>
      </c>
      <c r="Q154" s="49" t="b">
        <f t="shared" si="1"/>
        <v>1</v>
      </c>
    </row>
    <row r="155" spans="1:18">
      <c r="A155" s="49">
        <v>2023.03</v>
      </c>
      <c r="B155" t="s">
        <v>21</v>
      </c>
      <c r="C155" s="49">
        <v>572.5602013037668</v>
      </c>
      <c r="D155" s="49">
        <v>143.28242</v>
      </c>
      <c r="E155" s="49">
        <v>132.56921</v>
      </c>
      <c r="F155" s="49">
        <v>143.87602000000001</v>
      </c>
      <c r="G155" s="49"/>
      <c r="I155" s="49">
        <v>572.5602013037668</v>
      </c>
      <c r="J155" s="49">
        <v>143.28242</v>
      </c>
      <c r="K155" s="49">
        <v>132.56921</v>
      </c>
      <c r="L155" s="49">
        <v>143.87602000000001</v>
      </c>
      <c r="M155" s="49"/>
      <c r="N155" s="49" t="b">
        <f>indexTable[[#This Row],[Labour]]=I155</f>
        <v>1</v>
      </c>
      <c r="O155" s="49" t="b">
        <f t="shared" si="0"/>
        <v>1</v>
      </c>
      <c r="P155" s="49" t="b">
        <f t="shared" si="1"/>
        <v>1</v>
      </c>
      <c r="Q155" s="49" t="b">
        <f t="shared" si="1"/>
        <v>1</v>
      </c>
    </row>
    <row r="156" spans="1:18">
      <c r="A156" s="49">
        <v>2023.04</v>
      </c>
      <c r="B156" t="s">
        <v>22</v>
      </c>
      <c r="C156" s="49">
        <v>576.53975955176679</v>
      </c>
      <c r="D156" s="49">
        <v>145.23429999999999</v>
      </c>
      <c r="E156" s="49">
        <v>132.56921</v>
      </c>
      <c r="F156" s="49">
        <v>144.92174</v>
      </c>
      <c r="G156" s="49"/>
      <c r="I156" s="49">
        <v>576.53975955176679</v>
      </c>
      <c r="J156" s="49">
        <v>145.23429999999999</v>
      </c>
      <c r="K156" s="49">
        <v>132.56921</v>
      </c>
      <c r="L156" s="49">
        <v>144.92174</v>
      </c>
      <c r="M156" s="49"/>
      <c r="N156" s="49" t="b">
        <f>indexTable[[#This Row],[Labour]]=I156</f>
        <v>1</v>
      </c>
      <c r="O156" s="49" t="b">
        <f t="shared" si="0"/>
        <v>1</v>
      </c>
      <c r="P156" s="49" t="b">
        <f t="shared" si="1"/>
        <v>1</v>
      </c>
      <c r="Q156" s="49" t="b">
        <f t="shared" si="1"/>
        <v>1</v>
      </c>
    </row>
    <row r="157" spans="1:18" s="48" customFormat="1">
      <c r="A157" s="49"/>
      <c r="C157" s="49"/>
      <c r="D157" s="49"/>
      <c r="E157" s="49"/>
      <c r="F157" s="49"/>
      <c r="G157" s="49"/>
      <c r="I157" s="49"/>
      <c r="J157" s="49"/>
      <c r="K157" s="49"/>
      <c r="L157" s="49"/>
      <c r="M157" s="49"/>
      <c r="N157" s="49" t="b">
        <f>indexTable[[#This Row],[Labour]]=I157</f>
        <v>1</v>
      </c>
      <c r="O157" s="49" t="b">
        <f t="shared" si="0"/>
        <v>1</v>
      </c>
      <c r="P157" s="49" t="b">
        <f t="shared" si="1"/>
        <v>1</v>
      </c>
      <c r="Q157" s="49" t="b">
        <f t="shared" si="1"/>
        <v>1</v>
      </c>
    </row>
    <row r="158" spans="1:18" s="48" customFormat="1">
      <c r="A158" s="49"/>
      <c r="B158" s="48" t="s">
        <v>23</v>
      </c>
      <c r="C158" s="49"/>
      <c r="D158" s="49"/>
      <c r="E158" s="49"/>
      <c r="F158" s="49"/>
      <c r="G158" s="49"/>
      <c r="I158" s="49"/>
      <c r="J158" s="49"/>
      <c r="K158" s="49"/>
      <c r="L158" s="49"/>
      <c r="M158" s="49"/>
      <c r="N158" s="49" t="b">
        <f>indexTable[[#This Row],[Labour]]=I158</f>
        <v>1</v>
      </c>
      <c r="O158" s="49" t="b">
        <f t="shared" si="0"/>
        <v>1</v>
      </c>
      <c r="P158" s="49" t="b">
        <f t="shared" si="1"/>
        <v>1</v>
      </c>
      <c r="Q158" s="49" t="b">
        <f t="shared" si="1"/>
        <v>1</v>
      </c>
    </row>
    <row r="159" spans="1:18">
      <c r="A159" s="49">
        <v>2023.05</v>
      </c>
      <c r="B159" t="s">
        <v>24</v>
      </c>
      <c r="C159" s="49">
        <v>582.08340285916222</v>
      </c>
      <c r="D159" s="49">
        <v>145.09305000000001</v>
      </c>
      <c r="E159" s="49">
        <v>133.0308</v>
      </c>
      <c r="F159" s="49">
        <v>145.59526</v>
      </c>
      <c r="G159" s="49" t="s">
        <v>103</v>
      </c>
      <c r="M159" s="49"/>
      <c r="N159" s="49" t="b">
        <f>indexTable[[#This Row],[Labour]]=I159</f>
        <v>0</v>
      </c>
      <c r="O159" s="49" t="b">
        <f t="shared" si="0"/>
        <v>0</v>
      </c>
      <c r="P159" s="49" t="b">
        <f t="shared" si="1"/>
        <v>0</v>
      </c>
      <c r="Q159" s="49" t="b">
        <f t="shared" si="1"/>
        <v>0</v>
      </c>
    </row>
    <row r="160" spans="1:18">
      <c r="A160" s="49">
        <v>2023.06</v>
      </c>
      <c r="B160" t="s">
        <v>25</v>
      </c>
      <c r="C160" s="49">
        <v>587.12144851394805</v>
      </c>
      <c r="D160" s="49">
        <v>141.61176</v>
      </c>
      <c r="E160" s="49">
        <v>133.0308</v>
      </c>
      <c r="F160" s="49">
        <v>144.72220999999999</v>
      </c>
      <c r="G160" s="49" t="s">
        <v>103</v>
      </c>
      <c r="M160" s="49"/>
      <c r="N160" s="49" t="b">
        <f>indexTable[[#This Row],[Labour]]=I160</f>
        <v>0</v>
      </c>
      <c r="O160" s="49" t="b">
        <f t="shared" si="0"/>
        <v>0</v>
      </c>
      <c r="P160" s="49" t="b">
        <f t="shared" si="1"/>
        <v>0</v>
      </c>
      <c r="Q160" s="49" t="b">
        <f t="shared" si="1"/>
        <v>0</v>
      </c>
    </row>
    <row r="161" spans="1:17">
      <c r="A161" s="49">
        <v>2023.07</v>
      </c>
      <c r="B161" t="s">
        <v>26</v>
      </c>
      <c r="C161" s="49">
        <v>587.12144851394805</v>
      </c>
      <c r="D161" s="49">
        <v>141.51938000000001</v>
      </c>
      <c r="E161" s="49">
        <v>133.0308</v>
      </c>
      <c r="F161" s="49">
        <v>147.91848999999999</v>
      </c>
      <c r="G161" s="49" t="s">
        <v>103</v>
      </c>
      <c r="N161" s="49" t="b">
        <f>indexTable[[#This Row],[Labour]]=I161</f>
        <v>0</v>
      </c>
      <c r="O161" s="49" t="b">
        <f t="shared" ref="O161:O165" si="2">D161=J161</f>
        <v>0</v>
      </c>
      <c r="P161" s="49" t="b">
        <f t="shared" ref="P161:P165" si="3">E161=K161</f>
        <v>0</v>
      </c>
      <c r="Q161" s="49" t="b">
        <f t="shared" ref="Q161:Q165" si="4">F161=L161</f>
        <v>0</v>
      </c>
    </row>
    <row r="162" spans="1:17" s="48" customFormat="1">
      <c r="A162" s="49"/>
      <c r="C162" s="49"/>
      <c r="D162" s="49"/>
      <c r="E162" s="49"/>
      <c r="F162" s="49"/>
      <c r="G162" s="49"/>
      <c r="I162" s="49"/>
      <c r="J162" s="49"/>
      <c r="K162" s="49"/>
      <c r="L162" s="49"/>
      <c r="M162" s="49"/>
      <c r="N162" s="49" t="b">
        <f>indexTable[[#This Row],[Labour]]=I162</f>
        <v>1</v>
      </c>
      <c r="O162" s="49" t="b">
        <f t="shared" si="2"/>
        <v>1</v>
      </c>
      <c r="P162" s="49" t="b">
        <f t="shared" si="3"/>
        <v>1</v>
      </c>
      <c r="Q162" s="49" t="b">
        <f t="shared" si="4"/>
        <v>1</v>
      </c>
    </row>
    <row r="163" spans="1:17" s="48" customFormat="1">
      <c r="A163" s="49"/>
      <c r="B163" s="48" t="s">
        <v>77</v>
      </c>
      <c r="C163" s="49"/>
      <c r="D163" s="49"/>
      <c r="E163" s="49"/>
      <c r="F163" s="49"/>
      <c r="G163" s="49"/>
      <c r="I163" s="49"/>
      <c r="J163" s="49"/>
      <c r="K163" s="49"/>
      <c r="L163" s="49"/>
      <c r="M163" s="49"/>
      <c r="N163" s="49" t="b">
        <f>indexTable[[#This Row],[Labour]]=I163</f>
        <v>1</v>
      </c>
      <c r="O163" s="49" t="b">
        <f t="shared" si="2"/>
        <v>1</v>
      </c>
      <c r="P163" s="49" t="b">
        <f t="shared" si="3"/>
        <v>1</v>
      </c>
      <c r="Q163" s="49" t="b">
        <f t="shared" si="4"/>
        <v>1</v>
      </c>
    </row>
    <row r="164" spans="1:17" s="48" customFormat="1">
      <c r="A164" s="49"/>
      <c r="B164" s="48" t="s">
        <v>11</v>
      </c>
      <c r="C164" s="49"/>
      <c r="D164" s="49"/>
      <c r="E164" s="49"/>
      <c r="F164" s="49"/>
      <c r="G164" s="49"/>
      <c r="I164" s="49"/>
      <c r="J164" s="49"/>
      <c r="K164" s="49"/>
      <c r="L164" s="49"/>
      <c r="M164" s="49"/>
      <c r="N164" s="49" t="b">
        <f>indexTable[[#This Row],[Labour]]=I164</f>
        <v>1</v>
      </c>
      <c r="O164" s="49" t="b">
        <f t="shared" si="2"/>
        <v>1</v>
      </c>
      <c r="P164" s="49" t="b">
        <f t="shared" si="3"/>
        <v>1</v>
      </c>
      <c r="Q164" s="49" t="b">
        <f t="shared" si="4"/>
        <v>1</v>
      </c>
    </row>
    <row r="165" spans="1:17">
      <c r="A165" s="49">
        <v>2023.08</v>
      </c>
      <c r="B165" t="s">
        <v>12</v>
      </c>
      <c r="C165" s="49">
        <v>592.29047897948431</v>
      </c>
      <c r="D165" s="49">
        <v>138.53404</v>
      </c>
      <c r="E165" s="49">
        <v>136.17882</v>
      </c>
      <c r="F165" s="49">
        <v>150.10048</v>
      </c>
      <c r="G165" s="49" t="s">
        <v>103</v>
      </c>
      <c r="N165" s="49" t="b">
        <f>indexTable[[#This Row],[Labour]]=I165</f>
        <v>0</v>
      </c>
      <c r="O165" s="49" t="b">
        <f t="shared" si="2"/>
        <v>0</v>
      </c>
      <c r="P165" s="49" t="b">
        <f t="shared" si="3"/>
        <v>0</v>
      </c>
      <c r="Q165" s="49" t="b">
        <f t="shared" si="4"/>
        <v>0</v>
      </c>
    </row>
  </sheetData>
  <mergeCells count="1">
    <mergeCell ref="I98:Q98"/>
  </mergeCells>
  <conditionalFormatting sqref="A2:F160 A162:F164 A165:B165 A161:B161">
    <cfRule type="expression" dxfId="32" priority="13">
      <formula>RIGHT($B2,3)="Qtr"</formula>
    </cfRule>
    <cfRule type="expression" dxfId="31" priority="14">
      <formula>OR(LEFT($B2,1)="2", LEFT($B2,1)="1")</formula>
    </cfRule>
  </conditionalFormatting>
  <conditionalFormatting sqref="A121:F121">
    <cfRule type="expression" dxfId="30" priority="11">
      <formula>RIGHT($B121,3)="Qtr"</formula>
    </cfRule>
    <cfRule type="expression" dxfId="29" priority="12">
      <formula>OR(LEFT($B121,1)="2", LEFT($B121,1)="1")</formula>
    </cfRule>
  </conditionalFormatting>
  <conditionalFormatting sqref="A142:F142">
    <cfRule type="expression" dxfId="28" priority="7">
      <formula>RIGHT($B142,3)="Qtr"</formula>
    </cfRule>
    <cfRule type="expression" dxfId="27" priority="8">
      <formula>OR(LEFT($B142,1)="2", LEFT($B142,1)="1")</formula>
    </cfRule>
  </conditionalFormatting>
  <conditionalFormatting sqref="A154:F154">
    <cfRule type="expression" dxfId="26" priority="5">
      <formula>RIGHT($B154,3)="Qtr"</formula>
    </cfRule>
    <cfRule type="expression" dxfId="25" priority="6">
      <formula>OR(LEFT($B154,1)="2", LEFT($B154,1)="1")</formula>
    </cfRule>
  </conditionalFormatting>
  <conditionalFormatting sqref="N1:Q97 N99:Q1048576">
    <cfRule type="expression" dxfId="24" priority="4">
      <formula>AND(N1=FALSE,N1&lt;&gt;"",$G1&lt;&gt;"provisional")</formula>
    </cfRule>
  </conditionalFormatting>
  <conditionalFormatting sqref="N1:Q1048576">
    <cfRule type="expression" dxfId="23" priority="3">
      <formula>N1=TRUE</formula>
    </cfRule>
  </conditionalFormatting>
  <conditionalFormatting sqref="A163:F163">
    <cfRule type="expression" dxfId="22" priority="1">
      <formula>RIGHT($B163,3)="Qtr"</formula>
    </cfRule>
    <cfRule type="expression" dxfId="21" priority="2">
      <formula>OR(LEFT($B163,1)="2", LEFT($B163,1)="1")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IPC</vt:lpstr>
      <vt:lpstr>Project</vt:lpstr>
      <vt:lpstr>Sheet1</vt:lpstr>
      <vt:lpstr>Indices</vt:lpstr>
      <vt:lpstr>IPC!a</vt:lpstr>
      <vt:lpstr>amount</vt:lpstr>
      <vt:lpstr>IPC!b</vt:lpstr>
      <vt:lpstr>IPC!c_</vt:lpstr>
      <vt:lpstr>completionDate</vt:lpstr>
      <vt:lpstr>IPC!d</vt:lpstr>
      <vt:lpstr>dates</vt:lpstr>
      <vt:lpstr>dateType</vt:lpstr>
      <vt:lpstr>dateType1</vt:lpstr>
      <vt:lpstr>intendedCompletionDate</vt:lpstr>
      <vt:lpstr>IPC!lo</vt:lpstr>
      <vt:lpstr>IPC!mo</vt:lpstr>
      <vt:lpstr>IPC!no</vt:lpstr>
      <vt:lpstr>originalIndex</vt:lpstr>
      <vt:lpstr>presentDate</vt:lpstr>
      <vt:lpstr>presentIndex</vt:lpstr>
      <vt:lpstr>IPC!Print_Area</vt:lpstr>
      <vt:lpstr>Remaining</vt:lpstr>
      <vt:lpstr>IPC!VAT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2023-10-02T04:05:18Z</cp:lastPrinted>
  <dcterms:created xsi:type="dcterms:W3CDTF">2021-11-26T02:59:12Z</dcterms:created>
  <dcterms:modified xsi:type="dcterms:W3CDTF">2023-10-02T04:05:42Z</dcterms:modified>
</cp:coreProperties>
</file>