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gyan\Desktop\"/>
    </mc:Choice>
  </mc:AlternateContent>
  <xr:revisionPtr revIDLastSave="0" documentId="13_ncr:1_{9955B19D-40ED-45AC-BE08-494D6CB3155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" sheetId="5" r:id="rId1"/>
    <sheet name="Project" sheetId="10" r:id="rId2"/>
    <sheet name="Indices" sheetId="2" state="hidden" r:id="rId3"/>
  </sheets>
  <functionGroups builtInGroupCount="19"/>
  <definedNames>
    <definedName name="a" localSheetId="0">IPC!$A$12</definedName>
    <definedName name="amount">projectTable[Amount Paid on
Completion (w/o VAT)]</definedName>
    <definedName name="b" localSheetId="0">IPC!$B$12</definedName>
    <definedName name="c_" localSheetId="0">IPC!$C$12</definedName>
    <definedName name="completionDate">projectTable[Actual Date
of Completion]</definedName>
    <definedName name="d" localSheetId="0">IPC!$D$12</definedName>
    <definedName name="dateType">IPC!$Y$1</definedName>
    <definedName name="dateType1">Project!$Z$1</definedName>
    <definedName name="IPCtable">IPC!$C$15</definedName>
    <definedName name="lo" localSheetId="0">IPC!$B$8</definedName>
    <definedName name="mo" localSheetId="0">IPC!$C$8</definedName>
    <definedName name="no" localSheetId="0">IPC!$D$8</definedName>
    <definedName name="originalIndex">projectTable[National Wholesale
Price Index (overall)]</definedName>
    <definedName name="presentDate">Project!$B$1</definedName>
    <definedName name="presentIndex">Project!$B$3</definedName>
    <definedName name="_xlnm.Print_Area" localSheetId="0">IPC!$A$1:$I$24</definedName>
    <definedName name="_xlnm.Print_Area" localSheetId="1">Project!$A:$E</definedName>
    <definedName name="VAT" localSheetId="0">IPC!$I$18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5" l="1"/>
  <c r="D16" i="5"/>
  <c r="D15" i="5"/>
  <c r="E12" i="5"/>
  <c r="C6" i="10"/>
  <c r="G16" i="5"/>
  <c r="F16" i="5"/>
  <c r="E16" i="5"/>
  <c r="F15" i="5"/>
  <c r="E15" i="5"/>
  <c r="G15" i="5"/>
  <c r="D8" i="5"/>
  <c r="B8" i="5"/>
  <c r="C8" i="5"/>
  <c r="B1" i="10"/>
  <c r="D17" i="5" l="1"/>
  <c r="H15" i="5"/>
  <c r="I15" i="5" s="1"/>
  <c r="H16" i="5"/>
  <c r="I16" i="5" s="1"/>
  <c r="B3" i="10"/>
  <c r="B2" i="10"/>
  <c r="E6" i="10" l="1"/>
  <c r="I17" i="5"/>
  <c r="I18" i="5" s="1"/>
  <c r="I1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1AFAAF90-7E7D-4419-AB48-327865180999}">
      <text>
        <r>
          <rPr>
            <sz val="10"/>
            <color indexed="81"/>
            <rFont val="Tahoma"/>
            <family val="2"/>
          </rPr>
          <t>fill this</t>
        </r>
      </text>
    </comment>
    <comment ref="D12" authorId="0" shapeId="0" xr:uid="{50772544-289B-4C53-83CE-9D813F476C24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sharedStrings.xml><?xml version="1.0" encoding="utf-8"?>
<sst xmlns="http://schemas.openxmlformats.org/spreadsheetml/2006/main" count="169" uniqueCount="88">
  <si>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</si>
  <si>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</si>
  <si>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</si>
  <si>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</si>
  <si>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</si>
  <si>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</si>
  <si>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</si>
  <si>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</si>
  <si>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</si>
  <si>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</si>
  <si>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</si>
  <si>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</si>
  <si>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</si>
  <si>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</si>
  <si>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</si>
  <si>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</si>
  <si>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</si>
  <si>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</si>
  <si>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</si>
  <si>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</si>
  <si>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</si>
  <si>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</si>
  <si>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</si>
  <si>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</si>
  <si>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</si>
  <si>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</si>
  <si>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</si>
  <si>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</si>
  <si>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</si>
  <si>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</si>
  <si>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</si>
  <si>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</si>
  <si>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</si>
  <si>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</si>
  <si>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</si>
  <si>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</si>
  <si>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</si>
  <si>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</si>
  <si>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</si>
  <si>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</si>
  <si>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</si>
  <si>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</si>
  <si>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</si>
  <si>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</si>
  <si>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</si>
  <si>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</si>
  <si>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</si>
  <si>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</si>
  <si>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</si>
  <si>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</si>
  <si>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</si>
  <si>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</si>
  <si>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</si>
  <si>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</si>
  <si>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</si>
  <si>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</si>
  <si>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</si>
  <si>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</si>
  <si>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</si>
  <si>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</si>
  <si>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</si>
  <si>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</si>
  <si>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</si>
  <si>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</si>
  <si>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</si>
  <si>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</si>
  <si>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</si>
  <si>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</si>
  <si>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</si>
  <si>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</si>
  <si>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</si>
  <si>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13% VAT</t>
  </si>
  <si>
    <t>GRAND TOTAL</t>
  </si>
  <si>
    <t>Overall</t>
  </si>
  <si>
    <t>2076-1-1</t>
  </si>
  <si>
    <t>2077-2-2</t>
  </si>
  <si>
    <t>2078-3-3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</si>
  <si>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</si>
  <si>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</si>
  <si>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</si>
  <si>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</si>
  <si>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</si>
  <si>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</si>
  <si>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</si>
  <si>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</si>
  <si>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</si>
  <si>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</si>
  <si>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Latest available data for
(upto 15th day of the month)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</si>
</sst>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  <numFmt numFmtId="164" formatCode="&quot;$&quot;#,##0.00_);[Red]\(&quot;$&quot;#,##0.00\)"/>
    <numFmt numFmtId="165" formatCode="0.000"/>
  </numFmts>
  <fonts count="24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name val="Times New Roman"/>
      <family val="1"/>
    </font>
    <font>
      <sz val="8"/>
      <color rgb="FF000000"/>
      <name val="Segoe U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0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3" fillId="0" borderId="0"/>
    <xf numFmtId="0" fontId="3" fillId="0" borderId="0"/>
    <xf numFmtId="0" fontId="6" fillId="0" borderId="0"/>
    <xf numFmtId="0" fontId="14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" fillId="0" borderId="0"/>
    <xf numFmtId="0" fontId="6" fillId="0" borderId="0"/>
    <xf numFmtId="0" fontId="3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4" fillId="0" borderId="0"/>
    <xf numFmtId="0" fontId="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0" fontId="21" fillId="0" borderId="0">
      <alignment vertical="center"/>
    </xf>
    <xf numFmtId="164" fontId="2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0" fontId="0" fillId="0" borderId="1" xfId="0" applyFont="1" applyBorder="1" applyAlignment="1">
      <alignment horizontal="center" vertic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6" fillId="0" borderId="0" xfId="67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0" fillId="0" borderId="7" xfId="0" applyBorder="1"/>
    <xf numFmtId="0" fontId="0" fillId="0" borderId="1" xfId="0" applyBorder="1"/>
    <xf numFmtId="0" fontId="23" fillId="0" borderId="2" xfId="0" applyFont="1" applyBorder="1" applyAlignment="1">
      <alignment horizontal="center"/>
    </xf>
    <xf numFmtId="49" fontId="23" fillId="0" borderId="3" xfId="0" applyNumberFormat="1" applyFont="1" applyBorder="1" applyAlignment="1">
      <alignment horizontal="center" wrapText="1"/>
    </xf>
    <xf numFmtId="0" fontId="23" fillId="0" borderId="3" xfId="0" applyFont="1" applyBorder="1" applyAlignment="1">
      <alignment horizontal="center" wrapText="1"/>
    </xf>
    <xf numFmtId="0" fontId="0" fillId="0" borderId="1" xfId="0" applyBorder="1" applyAlignment="1">
      <alignment wrapText="1"/>
    </xf>
    <xf numFmtId="2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43" fontId="0" fillId="0" borderId="8" xfId="12" applyFont="1" applyBorder="1"/>
    <xf numFmtId="43" fontId="7" fillId="0" borderId="9" xfId="12" applyFont="1" applyBorder="1"/>
    <xf numFmtId="49" fontId="0" fillId="0" borderId="8" xfId="0" applyNumberFormat="1" applyBorder="1" applyAlignment="1">
      <alignment horizontal="center"/>
    </xf>
    <xf numFmtId="0" fontId="23" fillId="0" borderId="6" xfId="0" applyFont="1" applyBorder="1" applyAlignment="1">
      <alignment horizontal="center" wrapText="1"/>
    </xf>
    <xf numFmtId="2" fontId="0" fillId="0" borderId="8" xfId="0" applyNumberForma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11" fillId="0" borderId="0" xfId="0" applyFont="1" applyAlignment="1">
      <alignment horizontal="center" vertical="top"/>
    </xf>
    <xf numFmtId="0" fontId="7" fillId="0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top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8" fillId="0" borderId="0" xfId="0" applyFont="1" applyAlignment="1">
      <alignment horizontal="left"/>
    </xf>
  </cellXfs>
  <cellStyles count="70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298E357-BEB1-4FBE-83A7-B796498EADE9}"/>
    <cellStyle name="Hyperlink" xfId="67" builtinId="8"/>
    <cellStyle name="Normal" xfId="0" builtinId="0"/>
    <cellStyle name="Normal 10" xfId="15" xr:uid="{00000000-0005-0000-0000-000010000000}"/>
    <cellStyle name="Normal 10 3 2" xfId="25" xr:uid="{00000000-0005-0000-0000-000011000000}"/>
    <cellStyle name="Normal 10 5" xfId="19" xr:uid="{00000000-0005-0000-0000-000012000000}"/>
    <cellStyle name="Normal 11" xfId="5" xr:uid="{00000000-0005-0000-0000-000013000000}"/>
    <cellStyle name="Normal 2" xfId="6" xr:uid="{00000000-0005-0000-0000-000014000000}"/>
    <cellStyle name="Normal 2 10" xfId="16" xr:uid="{00000000-0005-0000-0000-000015000000}"/>
    <cellStyle name="Normal 2 14" xfId="62" xr:uid="{00000000-0005-0000-0000-000016000000}"/>
    <cellStyle name="Normal 2 19" xfId="35" xr:uid="{00000000-0005-0000-0000-000017000000}"/>
    <cellStyle name="Normal 2 2 2 4" xfId="24" xr:uid="{00000000-0005-0000-0000-000018000000}"/>
    <cellStyle name="Normal 2 3" xfId="30" xr:uid="{00000000-0005-0000-0000-000019000000}"/>
    <cellStyle name="Normal 2 4" xfId="7" xr:uid="{00000000-0005-0000-0000-00001A000000}"/>
    <cellStyle name="Normal 2 4 2" xfId="37" xr:uid="{00000000-0005-0000-0000-00001B000000}"/>
    <cellStyle name="Normal 2 5" xfId="66" xr:uid="{00000000-0005-0000-0000-00001C000000}"/>
    <cellStyle name="Normal 20" xfId="45" xr:uid="{00000000-0005-0000-0000-00001D000000}"/>
    <cellStyle name="Normal 21" xfId="46" xr:uid="{00000000-0005-0000-0000-00001E000000}"/>
    <cellStyle name="Normal 22" xfId="48" xr:uid="{00000000-0005-0000-0000-00001F000000}"/>
    <cellStyle name="Normal 23" xfId="50" xr:uid="{00000000-0005-0000-0000-000020000000}"/>
    <cellStyle name="Normal 24" xfId="51" xr:uid="{00000000-0005-0000-0000-000021000000}"/>
    <cellStyle name="Normal 25" xfId="53" xr:uid="{00000000-0005-0000-0000-000022000000}"/>
    <cellStyle name="Normal 26" xfId="52" xr:uid="{00000000-0005-0000-0000-000023000000}"/>
    <cellStyle name="Normal 28" xfId="59" xr:uid="{00000000-0005-0000-0000-000024000000}"/>
    <cellStyle name="Normal 29 3 2" xfId="44" xr:uid="{00000000-0005-0000-0000-000025000000}"/>
    <cellStyle name="Normal 3" xfId="1" xr:uid="{00000000-0005-0000-0000-000026000000}"/>
    <cellStyle name="Normal 3 16 2" xfId="36" xr:uid="{00000000-0005-0000-0000-000027000000}"/>
    <cellStyle name="Normal 3 2" xfId="13" xr:uid="{00000000-0005-0000-0000-000028000000}"/>
    <cellStyle name="Normal 3 2 3" xfId="14" xr:uid="{00000000-0005-0000-0000-000029000000}"/>
    <cellStyle name="Normal 3 6" xfId="20" xr:uid="{00000000-0005-0000-0000-00002A000000}"/>
    <cellStyle name="Normal 30" xfId="8" xr:uid="{00000000-0005-0000-0000-00002B000000}"/>
    <cellStyle name="Normal 31" xfId="55" xr:uid="{00000000-0005-0000-0000-00002C000000}"/>
    <cellStyle name="Normal 32 2" xfId="18" xr:uid="{00000000-0005-0000-0000-00002D000000}"/>
    <cellStyle name="Normal 33" xfId="9" xr:uid="{00000000-0005-0000-0000-00002E000000}"/>
    <cellStyle name="Normal 4" xfId="11" xr:uid="{00000000-0005-0000-0000-00002F000000}"/>
    <cellStyle name="Normal 4 10" xfId="28" xr:uid="{00000000-0005-0000-0000-000030000000}"/>
    <cellStyle name="Normal 4 28" xfId="33" xr:uid="{00000000-0005-0000-0000-000031000000}"/>
    <cellStyle name="Normal 5" xfId="68" xr:uid="{56D7F53F-2A3A-4216-A1F8-CFC696CD4CEF}"/>
    <cellStyle name="Normal 5 16" xfId="34" xr:uid="{00000000-0005-0000-0000-000032000000}"/>
    <cellStyle name="Normal 54" xfId="58" xr:uid="{00000000-0005-0000-0000-000033000000}"/>
    <cellStyle name="Normal 54 4" xfId="23" xr:uid="{00000000-0005-0000-0000-000034000000}"/>
    <cellStyle name="Normal 55 2" xfId="29" xr:uid="{00000000-0005-0000-0000-000035000000}"/>
    <cellStyle name="Normal 57 2" xfId="26" xr:uid="{00000000-0005-0000-0000-000036000000}"/>
    <cellStyle name="Normal 59" xfId="22" xr:uid="{00000000-0005-0000-0000-000037000000}"/>
    <cellStyle name="Normal 6" xfId="39" xr:uid="{00000000-0005-0000-0000-000038000000}"/>
    <cellStyle name="Normal 6 2" xfId="54" xr:uid="{00000000-0005-0000-0000-000039000000}"/>
    <cellStyle name="Normal 68" xfId="21" xr:uid="{00000000-0005-0000-0000-00003A000000}"/>
    <cellStyle name="Normal 69" xfId="32" xr:uid="{00000000-0005-0000-0000-00003B000000}"/>
    <cellStyle name="Normal 69 2" xfId="63" xr:uid="{00000000-0005-0000-0000-00003C000000}"/>
    <cellStyle name="Normal 7 10" xfId="38" xr:uid="{00000000-0005-0000-0000-00003D000000}"/>
    <cellStyle name="Normal 70" xfId="41" xr:uid="{00000000-0005-0000-0000-00003E000000}"/>
    <cellStyle name="Normal 70 2" xfId="64" xr:uid="{00000000-0005-0000-0000-00003F000000}"/>
    <cellStyle name="Normal 71" xfId="40" xr:uid="{00000000-0005-0000-0000-000040000000}"/>
    <cellStyle name="Normal 71 2" xfId="61" xr:uid="{00000000-0005-0000-0000-000041000000}"/>
    <cellStyle name="Percent 2" xfId="10" xr:uid="{00000000-0005-0000-0000-000042000000}"/>
    <cellStyle name="Percent 3 4" xfId="42" xr:uid="{00000000-0005-0000-0000-000043000000}"/>
  </cellStyles>
  <dxfs count="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Y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Z1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523874</xdr:colOff>
      <xdr:row>7</xdr:row>
      <xdr:rowOff>28572</xdr:rowOff>
    </xdr:from>
    <xdr:to>
      <xdr:col>9</xdr:col>
      <xdr:colOff>171450</xdr:colOff>
      <xdr:row>12</xdr:row>
      <xdr:rowOff>306015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7219949" y="1771647"/>
          <a:ext cx="1885951" cy="1429968"/>
          <a:chOff x="7219949" y="1771647"/>
          <a:chExt cx="1885951" cy="1429968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7219949" y="1771647"/>
            <a:ext cx="1885951" cy="1429968"/>
            <a:chOff x="7232787" y="1776204"/>
            <a:chExt cx="1883880" cy="1428727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4" name="Group Box 4" hidden="1">
                  <a:extLst>
                    <a:ext uri="{63B3BB69-23CF-44E3-9099-C40C66FF867C}">
                      <a14:compatExt spid="_x0000_s5124"/>
                    </a:ext>
                    <a:ext uri="{FF2B5EF4-FFF2-40B4-BE49-F238E27FC236}">
                      <a16:creationId xmlns:a16="http://schemas.microsoft.com/office/drawing/2014/main" id="{00000000-0008-0000-0000-000004140000}"/>
                    </a:ext>
                  </a:extLst>
                </xdr:cNvPr>
                <xdr:cNvSpPr/>
              </xdr:nvSpPr>
              <xdr:spPr bwMode="auto">
                <a:xfrm>
                  <a:off x="7707237" y="2367240"/>
                  <a:ext cx="1042431" cy="83769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n-IN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Date format</a:t>
                  </a:r>
                </a:p>
              </xdr:txBody>
            </xdr:sp>
          </mc:Choice>
          <mc:Fallback/>
        </mc:AlternateContent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7232787" y="1776204"/>
              <a:ext cx="1883880" cy="447676"/>
            </a:xfrm>
            <a:prstGeom prst="roundRect">
              <a:avLst>
                <a:gd name="adj" fmla="val 50000"/>
              </a:avLst>
            </a:prstGeom>
            <a:solidFill>
              <a:schemeClr val="accent4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 b="1"/>
                <a:t>Choose date</a:t>
              </a:r>
              <a:r>
                <a:rPr lang="en-IN" sz="1400" b="1" baseline="0"/>
                <a:t> format!</a:t>
              </a:r>
              <a:endParaRPr lang="en-IN" sz="1400" b="1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8" name="Option Button 8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:a16="http://schemas.microsoft.com/office/drawing/2014/main" id="{00000000-0008-0000-0000-000008140000}"/>
                  </a:ext>
                </a:extLst>
              </xdr:cNvPr>
              <xdr:cNvSpPr/>
            </xdr:nvSpPr>
            <xdr:spPr bwMode="auto">
              <a:xfrm>
                <a:off x="7709866" y="2518327"/>
                <a:ext cx="923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9" name="Option Button 9" hidden="1">
                <a:extLst>
                  <a:ext uri="{63B3BB69-23CF-44E3-9099-C40C66FF867C}">
                    <a14:compatExt spid="_x0000_s5129"/>
                  </a:ext>
                  <a:ext uri="{FF2B5EF4-FFF2-40B4-BE49-F238E27FC236}">
                    <a16:creationId xmlns:a16="http://schemas.microsoft.com/office/drawing/2014/main" id="{00000000-0008-0000-0000-000009140000}"/>
                  </a:ext>
                </a:extLst>
              </xdr:cNvPr>
              <xdr:cNvSpPr/>
            </xdr:nvSpPr>
            <xdr:spPr bwMode="auto">
              <a:xfrm>
                <a:off x="7708622" y="2908851"/>
                <a:ext cx="923925" cy="2083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</a:t>
                </a:r>
              </a:p>
            </xdr:txBody>
          </xdr:sp>
        </mc:Choice>
        <mc:Fallback/>
      </mc:AlternateContent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1457325</xdr:colOff>
      <xdr:row>1</xdr:row>
      <xdr:rowOff>85725</xdr:rowOff>
    </xdr:from>
    <xdr:to>
      <xdr:col>5</xdr:col>
      <xdr:colOff>194224</xdr:colOff>
      <xdr:row>3</xdr:row>
      <xdr:rowOff>276230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791200" y="276225"/>
          <a:ext cx="2089699" cy="952505"/>
          <a:chOff x="7382231" y="1988366"/>
          <a:chExt cx="2094298" cy="952287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7382231" y="1988366"/>
            <a:ext cx="2094298" cy="952287"/>
            <a:chOff x="7394890" y="1992743"/>
            <a:chExt cx="2091998" cy="951463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7175" name="Group Box 7" hidden="1">
                  <a:extLst>
                    <a:ext uri="{63B3BB69-23CF-44E3-9099-C40C66FF867C}">
                      <a14:compatExt spid="_x0000_s7175"/>
                    </a:ext>
                    <a:ext uri="{FF2B5EF4-FFF2-40B4-BE49-F238E27FC236}">
                      <a16:creationId xmlns:a16="http://schemas.microsoft.com/office/drawing/2014/main" id="{00000000-0008-0000-0100-0000071C0000}"/>
                    </a:ext>
                  </a:extLst>
                </xdr:cNvPr>
                <xdr:cNvSpPr/>
              </xdr:nvSpPr>
              <xdr:spPr bwMode="auto">
                <a:xfrm>
                  <a:off x="7707236" y="2341030"/>
                  <a:ext cx="1503125" cy="60317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n-IN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Date format</a:t>
                  </a:r>
                </a:p>
              </xdr:txBody>
            </xdr:sp>
          </mc:Choice>
          <mc:Fallback/>
        </mc:AlternateContent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 txBox="1"/>
          </xdr:nvSpPr>
          <xdr:spPr>
            <a:xfrm>
              <a:off x="7394890" y="1992743"/>
              <a:ext cx="2091998" cy="269035"/>
            </a:xfrm>
            <a:prstGeom prst="roundRect">
              <a:avLst>
                <a:gd name="adj" fmla="val 50000"/>
              </a:avLst>
            </a:prstGeom>
            <a:solidFill>
              <a:schemeClr val="accent4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 b="1"/>
                <a:t>Choose date</a:t>
              </a:r>
              <a:r>
                <a:rPr lang="en-IN" sz="1400" b="1" baseline="0"/>
                <a:t> format!</a:t>
              </a:r>
              <a:endParaRPr lang="en-IN" sz="1400" b="1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6" name="Option Button 8" hidden="1">
                <a:extLst>
                  <a:ext uri="{63B3BB69-23CF-44E3-9099-C40C66FF867C}">
                    <a14:compatExt spid="_x0000_s7176"/>
                  </a:ext>
                  <a:ext uri="{FF2B5EF4-FFF2-40B4-BE49-F238E27FC236}">
                    <a16:creationId xmlns:a16="http://schemas.microsoft.com/office/drawing/2014/main" id="{00000000-0008-0000-0100-0000081C0000}"/>
                  </a:ext>
                </a:extLst>
              </xdr:cNvPr>
              <xdr:cNvSpPr/>
            </xdr:nvSpPr>
            <xdr:spPr bwMode="auto">
              <a:xfrm>
                <a:off x="7767141" y="2426381"/>
                <a:ext cx="923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7" name="Option 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100-0000091C0000}"/>
                  </a:ext>
                </a:extLst>
              </xdr:cNvPr>
              <xdr:cNvSpPr/>
            </xdr:nvSpPr>
            <xdr:spPr bwMode="auto">
              <a:xfrm>
                <a:off x="7765898" y="2659287"/>
                <a:ext cx="923925" cy="2083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</a:t>
                </a:r>
              </a:p>
            </xdr:txBody>
          </xdr:sp>
        </mc:Choice>
        <mc:Fallback/>
      </mc:AlternateContent>
    </xdr:grp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8437B5-8D5F-41BC-8B90-E1C6CE9FB050}" name="Table243" displayName="Table243" ref="A14:I17" totalsRowCount="1" headerRowDxfId="44" dataDxfId="42" totalsRowDxfId="40" headerRowBorderDxfId="43" tableBorderDxfId="41" totalsRowBorderDxfId="39">
  <tableColumns count="9">
    <tableColumn id="1" xr3:uid="{CAAE9FBF-54C5-4F9B-83E1-D5BC5D8F249D}" name="IPC No." dataDxfId="38" totalsRowDxfId="37"/>
    <tableColumn id="2" xr3:uid="{FB3457DE-C525-48D8-8E24-59AC7A66BFB7}" name="IPC Submisstion_x000a_Date" dataDxfId="36" totalsRowDxfId="35"/>
    <tableColumn id="10" xr3:uid="{7D303DC6-0D49-4907-9260-C98CF9777D79}" name="IPC Amount" totalsRowFunction="sum" dataDxfId="34" totalsRowDxfId="33" dataCellStyle="Comma"/>
    <tableColumn id="11" xr3:uid="{6AA2E79D-2CC8-48DA-B990-D62B569B4208}" name="IPC Amount_x000a_for Price Adj." totalsRowFunction="sum" dataDxfId="32" totalsRowDxfId="31" dataCellStyle="Comma">
      <calculatedColumnFormula>Table243[[#This Row],[IPC Amount]]</calculatedColumnFormula>
    </tableColumn>
    <tableColumn id="3" xr3:uid="{94CCC4D4-CE80-4A79-9A33-932DA288632A}" name="l" dataDxfId="30" totalsRowDxfId="29">
      <calculatedColumnFormula>IF(dateType=1, BSnrb(Table243[[#This Row],[IPC Submisstion
Date]],Table243[[#Headers],[l]]), ADnrb(Table243[[#This Row],[IPC Submisstion
Date]],Table243[[#Headers],[l]]))</calculatedColumnFormula>
    </tableColumn>
    <tableColumn id="4" xr3:uid="{C1C6B840-6A7A-4FD0-9D76-C32F5B9FF773}" name="m" dataDxfId="28" totalsRowDxfId="27">
      <calculatedColumnFormula>IF(dateType=1, BSnrb(Table243[[#This Row],[IPC Submisstion
Date]],Table243[[#Headers],[m]]), ADnrb(Table243[[#This Row],[IPC Submisstion
Date]],Table243[[#Headers],[m]]))</calculatedColumnFormula>
    </tableColumn>
    <tableColumn id="5" xr3:uid="{3560420C-4A6F-447A-A0EB-A90B302BE095}" name="n" dataDxfId="26" totalsRowDxfId="25">
      <calculatedColumnFormula>IF(dateType=1, BSnrb(Table243[[#This Row],[IPC Submisstion
Date]],Table243[[#Headers],[n]]), ADnrb(Table243[[#This Row],[IPC Submisstion
Date]],Table243[[#Headers],[n]]))</calculatedColumnFormula>
    </tableColumn>
    <tableColumn id="6" xr3:uid="{34E20157-4209-4E1B-B426-8328ED3A4033}" name="Price Adj._x000a_factor" totalsRowLabel="TOTAL" dataDxfId="24" totalsRowDxfId="23">
      <calculatedColumnFormula>a+
b*Table243[[#This Row],[l]]/lo+
c_*Table243[[#This Row],[m]]/mo+
d*Table243[[#This Row],[n]]/no</calculatedColumnFormula>
    </tableColumn>
    <tableColumn id="9" xr3:uid="{07D45FEF-8A96-4801-B79E-1B2D84F22EF5}" name="Net Price Adj._x000a_Amount" totalsRowFunction="sum" dataDxfId="22" totalsRowDxfId="21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108824-82FB-4040-8773-B9D91A62B466}" name="projectTable" displayName="projectTable" ref="A5:E6" totalsRowShown="0" headerRowDxfId="20" headerRowBorderDxfId="19" tableBorderDxfId="18" totalsRowBorderDxfId="17">
  <autoFilter ref="A5:E6" xr:uid="{A2108824-82FB-4040-8773-B9D91A62B46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9A960CF-DD62-4A86-A401-7C36D006A90D}" name="Project" dataDxfId="16"/>
    <tableColumn id="2" xr3:uid="{92537855-05A7-4CC9-B0A9-E0511B49C154}" name="Actual Date_x000a_of Completion" dataDxfId="15"/>
    <tableColumn id="3" xr3:uid="{5488F2E8-D51B-40C4-8B7A-82AEB73BB76B}" name="National Wholesale_x000a_Price Index (overall)" dataDxfId="14">
      <calculatedColumnFormula>IF(dateType1=1,BSnrb(projectTable[[#This Row],[Actual Date
of Completion]],"o"),ADnrb(projectTable[[#This Row],[Actual Date
of Completion]],"o"))</calculatedColumnFormula>
    </tableColumn>
    <tableColumn id="4" xr3:uid="{E5587994-17DD-4196-AFE2-90150082825F}" name="Amount Paid on_x000a_Completion (w/o VAT)" dataDxfId="13" dataCellStyle="Comma"/>
    <tableColumn id="5" xr3:uid="{14063D9C-6FF3-4FE7-8833-943607735B23}" name="Present Value_x000a_(w/o VAT)" dataDxfId="12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F120" totalsRowShown="0" headerRowDxfId="5">
  <autoFilter ref="A1:F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SN" dataDxfId="4"/>
    <tableColumn id="2" xr3:uid="{00000000-0010-0000-0200-000002000000}" name="Date"/>
    <tableColumn id="3" xr3:uid="{00000000-0010-0000-0200-000003000000}" name="Labour" dataDxfId="3"/>
    <tableColumn id="4" xr3:uid="{00000000-0010-0000-0200-000004000000}" name="Material" dataDxfId="2"/>
    <tableColumn id="5" xr3:uid="{00000000-0010-0000-0200-000005000000}" name="Equipment" dataDxfId="1"/>
    <tableColumn id="6" xr3:uid="{803AA8E8-4719-49FD-9069-55A4B12B3827}" name="Overal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9660A-8928-4457-AD63-7B40BBB2FBBC}">
  <sheetPr codeName="Sheet4">
    <tabColor rgb="FF92D050"/>
    <pageSetUpPr fitToPage="1"/>
  </sheetPr>
  <dimension ref="A1:AJ96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25" ht="28.5">
      <c r="A1" s="48" t="s">
        <v>55</v>
      </c>
      <c r="B1" s="48"/>
      <c r="C1" s="48"/>
      <c r="D1" s="48"/>
      <c r="E1" s="48"/>
      <c r="F1" s="48"/>
      <c r="G1" s="48"/>
      <c r="H1" s="48"/>
      <c r="I1" s="48"/>
      <c r="Y1">
        <v>1</v>
      </c>
    </row>
    <row r="2" spans="1:25">
      <c r="A2" s="7"/>
      <c r="B2" s="7"/>
      <c r="C2" s="7"/>
      <c r="D2" s="7"/>
      <c r="E2" s="7"/>
      <c r="F2" s="7"/>
      <c r="G2" s="7"/>
      <c r="H2" s="7"/>
      <c r="I2" s="7"/>
    </row>
    <row r="3" spans="1:25" ht="30.75" customHeight="1">
      <c r="A3" s="21" t="s">
        <v>43</v>
      </c>
      <c r="B3" s="49"/>
      <c r="C3" s="49"/>
      <c r="D3" s="49"/>
      <c r="E3" s="49"/>
      <c r="F3" s="49"/>
      <c r="G3" s="49"/>
      <c r="H3" s="49"/>
      <c r="I3" s="49"/>
    </row>
    <row r="4" spans="1:25">
      <c r="A4" s="8" t="s">
        <v>44</v>
      </c>
      <c r="B4" s="50"/>
      <c r="C4" s="50"/>
      <c r="D4" s="50"/>
      <c r="E4" s="50"/>
      <c r="F4" s="50"/>
      <c r="G4" s="50"/>
      <c r="H4" s="50"/>
      <c r="I4" s="50"/>
    </row>
    <row r="5" spans="1:25">
      <c r="A5" s="8"/>
      <c r="B5" s="8"/>
    </row>
    <row r="6" spans="1:25">
      <c r="A6" s="51" t="s">
        <v>59</v>
      </c>
      <c r="B6" s="47" t="s">
        <v>70</v>
      </c>
      <c r="C6" s="47"/>
      <c r="D6" s="47"/>
    </row>
    <row r="7" spans="1:25" ht="18">
      <c r="A7" s="51"/>
      <c r="B7" s="18" t="s">
        <v>45</v>
      </c>
      <c r="C7" s="18" t="s">
        <v>49</v>
      </c>
      <c r="D7" s="18" t="s">
        <v>50</v>
      </c>
      <c r="E7" s="1"/>
      <c r="H7" s="27"/>
    </row>
    <row r="8" spans="1:25">
      <c r="A8" s="45" t="s">
        <v>74</v>
      </c>
      <c r="B8" s="9">
        <f>IF(dateType=1,BSnrb($A$8,"l"),ADnrb($A$8,"l"))</f>
        <v>474.7</v>
      </c>
      <c r="C8" s="9">
        <f>IF(dateType=1,BSnrb($A$8,"m"),ADnrb($A$8,"m"))</f>
        <v>107.217766</v>
      </c>
      <c r="D8" s="9">
        <f>IF(dateType=1,BSnrb($A$8,"n"),ADnrb($A$8,"n"))</f>
        <v>104.40072000000001</v>
      </c>
      <c r="E8" s="10"/>
      <c r="H8" s="27"/>
    </row>
    <row r="10" spans="1:25">
      <c r="A10" s="47" t="s">
        <v>52</v>
      </c>
      <c r="B10" s="47"/>
      <c r="C10" s="47"/>
      <c r="D10" s="47"/>
      <c r="E10" s="47"/>
      <c r="H10" s="14"/>
    </row>
    <row r="11" spans="1:25" ht="30.75" customHeight="1">
      <c r="A11" s="26" t="s">
        <v>64</v>
      </c>
      <c r="B11" s="26" t="s">
        <v>65</v>
      </c>
      <c r="C11" s="26" t="s">
        <v>66</v>
      </c>
      <c r="D11" s="26" t="s">
        <v>67</v>
      </c>
      <c r="E11" s="11" t="s">
        <v>53</v>
      </c>
    </row>
    <row r="12" spans="1:25">
      <c r="A12" s="9">
        <v>0.15</v>
      </c>
      <c r="B12" s="46"/>
      <c r="C12" s="46"/>
      <c r="D12" s="46"/>
      <c r="E12" s="9">
        <f>SUM(A12:D12)</f>
        <v>0.15</v>
      </c>
    </row>
    <row r="13" spans="1:25" ht="41.25" customHeight="1">
      <c r="E13" s="52" t="s">
        <v>63</v>
      </c>
      <c r="F13" s="53"/>
      <c r="G13" s="53"/>
    </row>
    <row r="14" spans="1:25" ht="45">
      <c r="A14" s="2" t="s">
        <v>62</v>
      </c>
      <c r="B14" s="4" t="s">
        <v>61</v>
      </c>
      <c r="C14" s="3" t="s">
        <v>68</v>
      </c>
      <c r="D14" s="4" t="s">
        <v>69</v>
      </c>
      <c r="E14" s="3" t="s">
        <v>46</v>
      </c>
      <c r="F14" s="3" t="s">
        <v>47</v>
      </c>
      <c r="G14" s="3" t="s">
        <v>48</v>
      </c>
      <c r="H14" s="4" t="s">
        <v>51</v>
      </c>
      <c r="I14" s="26" t="s">
        <v>56</v>
      </c>
    </row>
    <row r="15" spans="1:25">
      <c r="A15" s="25">
        <v>1</v>
      </c>
      <c r="B15" s="17" t="s">
        <v>75</v>
      </c>
      <c r="C15" s="12"/>
      <c r="D15" s="6">
        <f>Table243[[#This Row],[IPC Amount]]</f>
        <v>0</v>
      </c>
      <c r="E15" s="13">
        <f>IF(dateType=1, BSnrb(Table243[[#This Row],[IPC Submisstion
Date]],Table243[[#Headers],[l]]), ADnrb(Table243[[#This Row],[IPC Submisstion
Date]],Table243[[#Headers],[l]]))</f>
        <v>500.8381542398198</v>
      </c>
      <c r="F15" s="13">
        <f>IF(dateType=1, BSnrb(Table243[[#This Row],[IPC Submisstion
Date]],Table243[[#Headers],[m]]), ADnrb(Table243[[#This Row],[IPC Submisstion
Date]],Table243[[#Headers],[m]]))</f>
        <v>103.13581000000001</v>
      </c>
      <c r="G15" s="13">
        <f>IF(dateType=1, BSnrb(Table243[[#This Row],[IPC Submisstion
Date]],Table243[[#Headers],[n]]), ADnrb(Table243[[#This Row],[IPC Submisstion
Date]],Table243[[#Headers],[n]]))</f>
        <v>107.676216</v>
      </c>
      <c r="H15" s="9">
        <f>a+
b*Table243[[#This Row],[l]]/lo+
c_*Table243[[#This Row],[m]]/mo+
d*Table243[[#This Row],[n]]/no</f>
        <v>0.15</v>
      </c>
      <c r="I15" s="6">
        <f>(Table243[[#This Row],[Price Adj.
factor]]-1) * Table243[[#This Row],[IPC Amount
for Price Adj.]]</f>
        <v>0</v>
      </c>
    </row>
    <row r="16" spans="1:25" ht="15.75" thickBot="1">
      <c r="A16" s="25">
        <v>2</v>
      </c>
      <c r="B16" s="17" t="s">
        <v>76</v>
      </c>
      <c r="C16" s="12"/>
      <c r="D16" s="6">
        <f>Table243[[#This Row],[IPC Amount]]</f>
        <v>0</v>
      </c>
      <c r="E16" s="13">
        <f>IF(dateType=1, BSnrb(Table243[[#This Row],[IPC Submisstion
Date]],Table243[[#Headers],[l]]), ADnrb(Table243[[#This Row],[IPC Submisstion
Date]],Table243[[#Headers],[l]]))</f>
        <v>515.84706404692679</v>
      </c>
      <c r="F16" s="13">
        <f>IF(dateType=1, BSnrb(Table243[[#This Row],[IPC Submisstion
Date]],Table243[[#Headers],[m]]), ADnrb(Table243[[#This Row],[IPC Submisstion
Date]],Table243[[#Headers],[m]]))</f>
        <v>111.89505</v>
      </c>
      <c r="G16" s="13">
        <f>IF(dateType=1, BSnrb(Table243[[#This Row],[IPC Submisstion
Date]],Table243[[#Headers],[n]]), ADnrb(Table243[[#This Row],[IPC Submisstion
Date]],Table243[[#Headers],[n]]))</f>
        <v>113.68747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Top="1">
      <c r="A17" s="19"/>
      <c r="B17" s="19"/>
      <c r="C17" s="19">
        <f>SUBTOTAL(109,Table243[IPC Amount])</f>
        <v>0</v>
      </c>
      <c r="D17" s="19">
        <f>SUBTOTAL(109,Table243[IPC Amount
for Price Adj.])</f>
        <v>0</v>
      </c>
      <c r="E17" s="19"/>
      <c r="F17" s="19"/>
      <c r="G17" s="19"/>
      <c r="H17" s="29" t="s">
        <v>53</v>
      </c>
      <c r="I17" s="20">
        <f>SUBTOTAL(109,Table243[Net Price Adj.
Amount])</f>
        <v>0</v>
      </c>
    </row>
    <row r="18" spans="1:9">
      <c r="A18" s="22"/>
      <c r="B18" s="22"/>
      <c r="C18" s="22"/>
      <c r="D18" s="22"/>
      <c r="E18" s="22"/>
      <c r="F18" s="22"/>
      <c r="G18" s="22"/>
      <c r="H18" s="28" t="s">
        <v>71</v>
      </c>
      <c r="I18" s="22">
        <f>Table243[[#Totals],[Net Price Adj.
Amount]]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72</v>
      </c>
      <c r="I19" s="22">
        <f>Table243[[#Totals],[Net Price Adj.
Amount]]+VAT</f>
        <v>0</v>
      </c>
    </row>
    <row r="20" spans="1:9">
      <c r="A20" s="22"/>
      <c r="B20" s="22"/>
      <c r="C20" s="22"/>
      <c r="D20" s="22"/>
      <c r="E20" s="22"/>
      <c r="F20" s="22"/>
      <c r="G20" s="22"/>
      <c r="H20" s="23"/>
      <c r="I20" s="22"/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54" t="s">
        <v>54</v>
      </c>
      <c r="B22" s="54"/>
      <c r="C22" s="54"/>
      <c r="D22" s="54"/>
      <c r="E22" s="54"/>
      <c r="F22" s="54"/>
      <c r="G22" s="54"/>
      <c r="H22" s="54"/>
      <c r="I22" s="54"/>
    </row>
    <row r="23" spans="1:9">
      <c r="A23" s="55" t="s">
        <v>57</v>
      </c>
      <c r="B23" s="55"/>
      <c r="C23" s="55"/>
      <c r="D23" s="55"/>
      <c r="E23" s="55"/>
      <c r="F23" s="55"/>
      <c r="G23" s="55"/>
      <c r="H23" s="55"/>
      <c r="I23" s="55"/>
    </row>
    <row r="24" spans="1:9">
      <c r="A24" s="55" t="s">
        <v>58</v>
      </c>
      <c r="B24" s="55"/>
      <c r="C24" s="55"/>
      <c r="D24" s="55"/>
      <c r="E24" s="55"/>
      <c r="F24" s="55"/>
      <c r="G24" s="55"/>
      <c r="H24" s="55"/>
      <c r="I24" s="55"/>
    </row>
    <row r="27" spans="1:9" ht="28.5">
      <c r="A27" s="56" t="s">
        <v>86</v>
      </c>
      <c r="B27" s="56"/>
      <c r="C27" s="56"/>
      <c r="D27" s="56"/>
      <c r="E27" s="56"/>
      <c r="F27" s="56"/>
      <c r="G27" s="56"/>
      <c r="H27" s="56"/>
      <c r="I27" s="56"/>
    </row>
    <row r="28" spans="1:9">
      <c r="A28" s="24"/>
    </row>
    <row r="93" spans="1:2">
      <c r="A93" s="14"/>
    </row>
    <row r="95" spans="1:2">
      <c r="B95" s="14"/>
    </row>
    <row r="96" spans="1:2">
      <c r="B96" s="14"/>
    </row>
  </sheetData>
  <mergeCells count="11">
    <mergeCell ref="E13:G13"/>
    <mergeCell ref="A22:I22"/>
    <mergeCell ref="A23:I23"/>
    <mergeCell ref="A24:I24"/>
    <mergeCell ref="A27:I27"/>
    <mergeCell ref="A10:E10"/>
    <mergeCell ref="A1:I1"/>
    <mergeCell ref="B3:I3"/>
    <mergeCell ref="B4:I4"/>
    <mergeCell ref="A6:A7"/>
    <mergeCell ref="B6:D6"/>
  </mergeCells>
  <conditionalFormatting sqref="I15:I16">
    <cfRule type="cellIs" dxfId="46" priority="2" operator="lessThan">
      <formula>0</formula>
    </cfRule>
  </conditionalFormatting>
  <conditionalFormatting sqref="I17:I21">
    <cfRule type="cellIs" dxfId="45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7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Group Box 4">
              <controlPr defaultSize="0" print="0" autoFill="0" autoPict="0">
                <anchor moveWithCells="1">
                  <from>
                    <xdr:col>8</xdr:col>
                    <xdr:colOff>85725</xdr:colOff>
                    <xdr:row>10</xdr:row>
                    <xdr:rowOff>47625</xdr:rowOff>
                  </from>
                  <to>
                    <xdr:col>8</xdr:col>
                    <xdr:colOff>1123950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Option Button 8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10</xdr:row>
                    <xdr:rowOff>200025</xdr:rowOff>
                  </from>
                  <to>
                    <xdr:col>8</xdr:col>
                    <xdr:colOff>1019175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Option Button 9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12</xdr:row>
                    <xdr:rowOff>9525</xdr:rowOff>
                  </from>
                  <to>
                    <xdr:col>8</xdr:col>
                    <xdr:colOff>1019175</xdr:colOff>
                    <xdr:row>12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F434F-DF25-4DF8-95CB-0E9EA1CA5247}">
  <sheetPr>
    <tabColor rgb="FF00B0F0"/>
    <pageSetUpPr fitToPage="1"/>
  </sheetPr>
  <dimension ref="A1:Z6"/>
  <sheetViews>
    <sheetView showGridLines="0" zoomScaleNormal="100" zoomScaleSheetLayoutView="100" workbookViewId="0">
      <selection activeCell="A6" sqref="A6"/>
    </sheetView>
  </sheetViews>
  <sheetFormatPr defaultRowHeight="15"/>
  <cols>
    <col min="1" max="1" width="29.28515625" bestFit="1" customWidth="1"/>
    <col min="2" max="2" width="15" bestFit="1" customWidth="1"/>
    <col min="3" max="3" width="20.7109375" bestFit="1" customWidth="1"/>
    <col min="4" max="5" width="25.140625" customWidth="1"/>
  </cols>
  <sheetData>
    <row r="1" spans="1:26">
      <c r="A1" s="33" t="s">
        <v>77</v>
      </c>
      <c r="B1" s="39" t="str">
        <f ca="1">IF(dateType1=1,ad2bs(TODAY()),TODAY())</f>
        <v>2079-2-12</v>
      </c>
      <c r="Z1">
        <v>1</v>
      </c>
    </row>
    <row r="2" spans="1:26" ht="30">
      <c r="A2" s="37" t="s">
        <v>87</v>
      </c>
      <c r="B2" s="38">
        <f ca="1">IF(dateType1=1,BSnrb(presentDate,"qtr"),ADnrb(presentDate,"qtr"))</f>
        <v>2022.04</v>
      </c>
    </row>
    <row r="3" spans="1:26" ht="30">
      <c r="A3" s="37" t="s">
        <v>79</v>
      </c>
      <c r="B3" s="38">
        <f ca="1">IF(dateType1=1,BSnrb(presentDate,"o"),ADnrb(presentDate,"o"))</f>
        <v>137.24484000000001</v>
      </c>
    </row>
    <row r="4" spans="1:26" ht="36" customHeight="1"/>
    <row r="5" spans="1:26" ht="31.5">
      <c r="A5" s="34" t="s">
        <v>78</v>
      </c>
      <c r="B5" s="35" t="s">
        <v>80</v>
      </c>
      <c r="C5" s="36" t="s">
        <v>81</v>
      </c>
      <c r="D5" s="36" t="s">
        <v>82</v>
      </c>
      <c r="E5" s="43" t="s">
        <v>83</v>
      </c>
    </row>
    <row r="6" spans="1:26">
      <c r="A6" s="32" t="s">
        <v>85</v>
      </c>
      <c r="B6" s="42" t="s">
        <v>84</v>
      </c>
      <c r="C6" s="44">
        <f>IF(dateType1=1,BSnrb(projectTable[[#This Row],[Actual Date
of Completion]],"o"),ADnrb(projectTable[[#This Row],[Actual Date
of Completion]],"o"))</f>
        <v>99.865872125192709</v>
      </c>
      <c r="D6" s="40">
        <v>10000000</v>
      </c>
      <c r="E6" s="41">
        <f t="shared" ref="E6" ca="1" si="0">amount*presentIndex/originalIndex</f>
        <v>13742917.082619445</v>
      </c>
    </row>
  </sheetData>
  <pageMargins left="0.7" right="0.7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Group Box 7">
              <controlPr defaultSize="0" print="0" autoFill="0" autoPict="0">
                <anchor moveWithCells="1">
                  <from>
                    <xdr:col>4</xdr:col>
                    <xdr:colOff>95250</xdr:colOff>
                    <xdr:row>2</xdr:row>
                    <xdr:rowOff>57150</xdr:rowOff>
                  </from>
                  <to>
                    <xdr:col>4</xdr:col>
                    <xdr:colOff>1590675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5" name="Option Button 8">
              <controlPr defaultSize="0" print="0" autoFill="0" autoLine="0" autoPict="0">
                <anchor moveWithCells="1">
                  <from>
                    <xdr:col>4</xdr:col>
                    <xdr:colOff>161925</xdr:colOff>
                    <xdr:row>2</xdr:row>
                    <xdr:rowOff>142875</xdr:rowOff>
                  </from>
                  <to>
                    <xdr:col>4</xdr:col>
                    <xdr:colOff>1085850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Option Button 9">
              <controlPr defaultSize="0" print="0" autoFill="0" autoLine="0" autoPict="0">
                <anchor moveWithCells="1">
                  <from>
                    <xdr:col>4</xdr:col>
                    <xdr:colOff>161925</xdr:colOff>
                    <xdr:row>2</xdr:row>
                    <xdr:rowOff>371475</xdr:rowOff>
                  </from>
                  <to>
                    <xdr:col>4</xdr:col>
                    <xdr:colOff>1085850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K120"/>
  <sheetViews>
    <sheetView topLeftCell="A100" zoomScaleNormal="100" workbookViewId="0">
      <selection activeCell="A118" sqref="A118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73</v>
      </c>
    </row>
    <row r="2" spans="1:6">
      <c r="A2" s="16">
        <v>1999</v>
      </c>
      <c r="B2" t="s">
        <v>5</v>
      </c>
      <c r="C2" s="15"/>
      <c r="D2" s="15">
        <v>30.8</v>
      </c>
      <c r="E2" s="15">
        <v>39.1</v>
      </c>
      <c r="F2" s="15">
        <v>30.40408683893525</v>
      </c>
    </row>
    <row r="3" spans="1:6">
      <c r="A3" s="16">
        <v>2000</v>
      </c>
      <c r="B3" t="s">
        <v>31</v>
      </c>
      <c r="C3" s="15"/>
      <c r="D3" s="15">
        <v>31.9</v>
      </c>
      <c r="E3" s="15">
        <v>40</v>
      </c>
      <c r="F3" s="15">
        <v>30.80609708889444</v>
      </c>
    </row>
    <row r="4" spans="1:6">
      <c r="A4" s="16">
        <v>2001</v>
      </c>
      <c r="B4" t="s">
        <v>32</v>
      </c>
      <c r="C4" s="15"/>
      <c r="D4" s="15">
        <v>33.5</v>
      </c>
      <c r="E4" s="15">
        <v>39.799999999999997</v>
      </c>
      <c r="F4" s="15">
        <v>32.299114651615426</v>
      </c>
    </row>
    <row r="5" spans="1:6">
      <c r="A5" s="16">
        <v>2002</v>
      </c>
      <c r="B5" t="s">
        <v>33</v>
      </c>
      <c r="C5" s="15"/>
      <c r="D5" s="15">
        <v>33.700000000000003</v>
      </c>
      <c r="E5" s="15">
        <v>39.799999999999997</v>
      </c>
      <c r="F5" s="15">
        <v>33.536310248435754</v>
      </c>
    </row>
    <row r="6" spans="1:6">
      <c r="A6" s="16">
        <v>2003</v>
      </c>
      <c r="B6" t="s">
        <v>34</v>
      </c>
      <c r="C6" s="15"/>
      <c r="D6" s="15">
        <v>38.9</v>
      </c>
      <c r="E6" s="15">
        <v>42</v>
      </c>
      <c r="F6" s="15">
        <v>34.904150720044171</v>
      </c>
    </row>
    <row r="7" spans="1:6">
      <c r="A7" s="16">
        <v>2004</v>
      </c>
      <c r="B7" t="s">
        <v>35</v>
      </c>
      <c r="C7" s="15">
        <v>100</v>
      </c>
      <c r="D7" s="15">
        <v>44.9</v>
      </c>
      <c r="E7" s="15">
        <v>46.2</v>
      </c>
      <c r="F7" s="15">
        <v>37.456720726569259</v>
      </c>
    </row>
    <row r="8" spans="1:6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  <c r="F8" s="15">
        <v>40.781894356022164</v>
      </c>
    </row>
    <row r="9" spans="1:6">
      <c r="A9" s="16">
        <v>2006</v>
      </c>
      <c r="B9" t="s">
        <v>37</v>
      </c>
      <c r="C9" s="15">
        <v>109.1</v>
      </c>
      <c r="D9" s="15">
        <v>53</v>
      </c>
      <c r="E9" s="15">
        <v>50.8</v>
      </c>
      <c r="F9" s="15">
        <v>44.456753912476529</v>
      </c>
    </row>
    <row r="10" spans="1:6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  <c r="F10" s="15">
        <v>48.439113275770872</v>
      </c>
    </row>
    <row r="11" spans="1:6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  <c r="F11" s="15">
        <v>54.942143645253957</v>
      </c>
    </row>
    <row r="12" spans="1:6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  <c r="F12" s="15">
        <v>61.600653521973008</v>
      </c>
    </row>
    <row r="13" spans="1:6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  <c r="F13" s="15">
        <v>67.652474049928202</v>
      </c>
    </row>
    <row r="14" spans="1:6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  <c r="F14" s="15">
        <v>72.049973761253923</v>
      </c>
    </row>
    <row r="15" spans="1:6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  <c r="F15" s="15">
        <v>78.484789553478151</v>
      </c>
    </row>
    <row r="16" spans="1:6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  <c r="F16" s="15">
        <v>85.011963843581356</v>
      </c>
    </row>
    <row r="17" spans="1:6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  <c r="F17" s="15">
        <v>90.139635351887236</v>
      </c>
    </row>
    <row r="18" spans="1:6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  <c r="F18" s="15">
        <v>95.792244445884805</v>
      </c>
    </row>
    <row r="19" spans="1:6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  <c r="F19" s="15">
        <v>98.296530571895929</v>
      </c>
    </row>
    <row r="20" spans="1:6">
      <c r="A20" s="15"/>
      <c r="B20" t="s">
        <v>11</v>
      </c>
      <c r="C20" s="15">
        <v>403.3</v>
      </c>
      <c r="D20" s="15">
        <v>88.4</v>
      </c>
      <c r="E20" s="15">
        <v>90.5</v>
      </c>
      <c r="F20" s="15">
        <v>97.5</v>
      </c>
    </row>
    <row r="21" spans="1:6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F21" s="15">
        <v>98</v>
      </c>
    </row>
    <row r="22" spans="1:6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F22" s="15">
        <v>97.3</v>
      </c>
    </row>
    <row r="23" spans="1:6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F23" s="15">
        <v>97.2</v>
      </c>
    </row>
    <row r="24" spans="1:6">
      <c r="A24" s="15"/>
      <c r="B24" t="s">
        <v>15</v>
      </c>
      <c r="C24" s="15">
        <v>403.8</v>
      </c>
      <c r="D24" s="15">
        <v>89.5</v>
      </c>
      <c r="E24" s="15">
        <v>96.4</v>
      </c>
      <c r="F24" s="15">
        <v>97.2</v>
      </c>
    </row>
    <row r="25" spans="1:6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  <c r="F25" s="15">
        <v>98.7</v>
      </c>
    </row>
    <row r="26" spans="1:6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  <c r="F26" s="15">
        <v>96.2</v>
      </c>
    </row>
    <row r="27" spans="1:6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  <c r="F27" s="15">
        <v>96.7</v>
      </c>
    </row>
    <row r="28" spans="1:6">
      <c r="A28" s="15"/>
      <c r="B28" t="s">
        <v>19</v>
      </c>
      <c r="C28" s="15">
        <v>405.1</v>
      </c>
      <c r="D28" s="15">
        <v>90.1</v>
      </c>
      <c r="E28" s="15">
        <v>100.1</v>
      </c>
      <c r="F28" s="15">
        <v>97.6</v>
      </c>
    </row>
    <row r="29" spans="1:6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  <c r="F29" s="15">
        <v>97</v>
      </c>
    </row>
    <row r="30" spans="1:6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  <c r="F30" s="15">
        <v>97.6</v>
      </c>
    </row>
    <row r="31" spans="1:6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  <c r="F31" s="15">
        <v>98.3</v>
      </c>
    </row>
    <row r="32" spans="1:6">
      <c r="A32" s="15"/>
      <c r="B32" t="s">
        <v>23</v>
      </c>
      <c r="C32" s="15">
        <v>410.6</v>
      </c>
      <c r="D32" s="15">
        <v>93.4</v>
      </c>
      <c r="E32" s="15">
        <v>100.9</v>
      </c>
      <c r="F32" s="15">
        <v>100.8</v>
      </c>
    </row>
    <row r="33" spans="1:11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  <c r="F33" s="15">
        <v>99.6</v>
      </c>
    </row>
    <row r="34" spans="1:11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  <c r="F34" s="15">
        <v>101.2</v>
      </c>
    </row>
    <row r="35" spans="1:11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  <c r="F35" s="15">
        <v>101.6</v>
      </c>
    </row>
    <row r="36" spans="1:11">
      <c r="A36" s="15"/>
      <c r="B36" t="s">
        <v>27</v>
      </c>
      <c r="C36" s="15">
        <v>426.7</v>
      </c>
      <c r="D36" s="15">
        <v>100.00000000000003</v>
      </c>
      <c r="E36" s="15">
        <v>100.00000000000001</v>
      </c>
      <c r="F36" s="15">
        <v>100</v>
      </c>
      <c r="K36" s="31"/>
    </row>
    <row r="37" spans="1:11">
      <c r="A37" s="15"/>
      <c r="B37" t="s">
        <v>11</v>
      </c>
      <c r="C37" s="15">
        <v>413.16666666666669</v>
      </c>
      <c r="D37" s="15">
        <v>94.129428279290323</v>
      </c>
      <c r="E37" s="15">
        <v>99.174820390091881</v>
      </c>
      <c r="F37" s="15">
        <v>98.869456231420358</v>
      </c>
      <c r="K37" s="31"/>
    </row>
    <row r="38" spans="1:11">
      <c r="A38" s="15">
        <v>2017.08</v>
      </c>
      <c r="B38" t="s">
        <v>12</v>
      </c>
      <c r="C38" s="15">
        <v>411.7</v>
      </c>
      <c r="D38" s="15">
        <v>94.164481961779472</v>
      </c>
      <c r="E38" s="15">
        <v>99.174820390091881</v>
      </c>
      <c r="F38" s="15">
        <v>99.135729899193805</v>
      </c>
      <c r="K38" s="31"/>
    </row>
    <row r="39" spans="1:11">
      <c r="A39" s="15">
        <v>2017.09</v>
      </c>
      <c r="B39" t="s">
        <v>13</v>
      </c>
      <c r="C39" s="15">
        <v>411.7</v>
      </c>
      <c r="D39" s="15">
        <v>94.164481961779472</v>
      </c>
      <c r="E39" s="15">
        <v>99.174820390091881</v>
      </c>
      <c r="F39" s="15">
        <v>98.764655130720115</v>
      </c>
      <c r="K39" s="31"/>
    </row>
    <row r="40" spans="1:11">
      <c r="A40" s="15">
        <v>2017.1</v>
      </c>
      <c r="B40" t="s">
        <v>14</v>
      </c>
      <c r="C40" s="15">
        <v>416.1</v>
      </c>
      <c r="D40" s="15">
        <v>94.059320914312039</v>
      </c>
      <c r="E40" s="15">
        <v>99.174820390091881</v>
      </c>
      <c r="F40" s="15">
        <v>98.70798366434714</v>
      </c>
      <c r="K40" s="31"/>
    </row>
    <row r="41" spans="1:11">
      <c r="A41" s="15"/>
      <c r="B41" t="s">
        <v>15</v>
      </c>
      <c r="C41" s="15">
        <v>416.4666666666667</v>
      </c>
      <c r="D41" s="15">
        <v>96.441024112686407</v>
      </c>
      <c r="E41" s="15">
        <v>99.531924976369211</v>
      </c>
      <c r="F41" s="15">
        <v>98.703783854600275</v>
      </c>
      <c r="K41" s="31"/>
    </row>
    <row r="42" spans="1:11">
      <c r="A42" s="15">
        <v>2017.11</v>
      </c>
      <c r="B42" t="s">
        <v>16</v>
      </c>
      <c r="C42" s="15">
        <v>416.1</v>
      </c>
      <c r="D42" s="15">
        <v>94.966382406050442</v>
      </c>
      <c r="E42" s="15">
        <v>99.531924976369197</v>
      </c>
      <c r="F42" s="15">
        <v>99.543361637329056</v>
      </c>
      <c r="K42" s="31"/>
    </row>
    <row r="43" spans="1:11">
      <c r="A43" s="15">
        <v>2017.12</v>
      </c>
      <c r="B43" t="s">
        <v>17</v>
      </c>
      <c r="C43" s="15">
        <v>416.1</v>
      </c>
      <c r="D43" s="15">
        <v>96.208447671291097</v>
      </c>
      <c r="E43" s="15">
        <v>99.531924976369197</v>
      </c>
      <c r="F43" s="15">
        <v>97.926606958793741</v>
      </c>
      <c r="K43" s="31"/>
    </row>
    <row r="44" spans="1:11">
      <c r="A44" s="15">
        <v>2018.01</v>
      </c>
      <c r="B44" t="s">
        <v>18</v>
      </c>
      <c r="C44" s="15">
        <v>417.2</v>
      </c>
      <c r="D44" s="15">
        <v>98.148242260717637</v>
      </c>
      <c r="E44" s="15">
        <v>99.531924976369197</v>
      </c>
      <c r="F44" s="15">
        <v>98.641382967678069</v>
      </c>
      <c r="K44" s="31"/>
    </row>
    <row r="45" spans="1:11">
      <c r="A45" s="15"/>
      <c r="B45" t="s">
        <v>19</v>
      </c>
      <c r="C45" s="15">
        <v>433.28999567081019</v>
      </c>
      <c r="D45" s="15">
        <v>102.54149750601145</v>
      </c>
      <c r="E45" s="15">
        <v>100.64227795729364</v>
      </c>
      <c r="F45" s="15">
        <v>99.814434202564485</v>
      </c>
      <c r="K45" s="31"/>
    </row>
    <row r="46" spans="1:11">
      <c r="A46" s="15">
        <v>2018.02</v>
      </c>
      <c r="B46" t="s">
        <v>20</v>
      </c>
      <c r="C46" s="15">
        <v>424.7</v>
      </c>
      <c r="D46" s="15">
        <v>101.84156981578217</v>
      </c>
      <c r="E46" s="15">
        <v>100.64227795729366</v>
      </c>
      <c r="F46" s="15">
        <v>99.122178271705081</v>
      </c>
      <c r="K46" s="31"/>
    </row>
    <row r="47" spans="1:11">
      <c r="A47" s="15">
        <v>2018.03</v>
      </c>
      <c r="B47" t="s">
        <v>21</v>
      </c>
      <c r="C47" s="15">
        <v>437.4</v>
      </c>
      <c r="D47" s="15">
        <v>102.8551477638204</v>
      </c>
      <c r="E47" s="15">
        <v>100.64227795729366</v>
      </c>
      <c r="F47" s="15">
        <v>99.865872125192709</v>
      </c>
      <c r="K47" s="31"/>
    </row>
    <row r="48" spans="1:11">
      <c r="A48" s="15">
        <v>2018.04</v>
      </c>
      <c r="B48" t="s">
        <v>22</v>
      </c>
      <c r="C48" s="15">
        <v>437.9</v>
      </c>
      <c r="D48" s="15">
        <v>102.9277749384318</v>
      </c>
      <c r="E48" s="15">
        <v>100.64227795729366</v>
      </c>
      <c r="F48" s="15">
        <v>100.45525221079566</v>
      </c>
      <c r="K48" s="31"/>
    </row>
    <row r="49" spans="1:11">
      <c r="A49" s="15"/>
      <c r="B49" t="s">
        <v>23</v>
      </c>
      <c r="C49" s="15">
        <v>443.96456494928765</v>
      </c>
      <c r="D49" s="15">
        <v>106.8880501020119</v>
      </c>
      <c r="E49" s="15">
        <v>100.65097667624532</v>
      </c>
      <c r="F49" s="15">
        <v>102.61232571141483</v>
      </c>
      <c r="K49" s="31"/>
    </row>
    <row r="50" spans="1:11">
      <c r="A50" s="15">
        <v>2018.05</v>
      </c>
      <c r="B50" t="s">
        <v>24</v>
      </c>
      <c r="C50" s="15">
        <v>443</v>
      </c>
      <c r="D50" s="15">
        <v>105.9168390614808</v>
      </c>
      <c r="E50" s="15">
        <v>100.65097667624532</v>
      </c>
      <c r="F50" s="15">
        <v>101.59790283446861</v>
      </c>
      <c r="K50" s="31"/>
    </row>
    <row r="51" spans="1:11">
      <c r="A51" s="15">
        <v>2018.06</v>
      </c>
      <c r="B51" t="s">
        <v>25</v>
      </c>
      <c r="C51" s="15">
        <v>443</v>
      </c>
      <c r="D51" s="15">
        <v>106.58388927072822</v>
      </c>
      <c r="E51" s="15">
        <v>100.65097667624532</v>
      </c>
      <c r="F51" s="15">
        <v>102.48203208078642</v>
      </c>
      <c r="K51" s="31"/>
    </row>
    <row r="52" spans="1:11">
      <c r="A52" s="15">
        <v>2018.07</v>
      </c>
      <c r="B52" t="s">
        <v>26</v>
      </c>
      <c r="C52" s="15">
        <v>445.9</v>
      </c>
      <c r="D52" s="15">
        <v>108.16342197382667</v>
      </c>
      <c r="E52" s="15">
        <v>100.65097667624532</v>
      </c>
      <c r="F52" s="15">
        <v>103.75704221898944</v>
      </c>
      <c r="K52" s="31"/>
    </row>
    <row r="53" spans="1:11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F53" s="15">
        <v>106.36433626723829</v>
      </c>
    </row>
    <row r="54" spans="1:11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F54" s="15">
        <v>106.86756333333334</v>
      </c>
    </row>
    <row r="55" spans="1:11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F55" s="15">
        <v>105.48023000000001</v>
      </c>
    </row>
    <row r="56" spans="1:11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F56" s="15">
        <v>107.36151</v>
      </c>
    </row>
    <row r="57" spans="1:11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F57" s="15">
        <v>107.76094999999999</v>
      </c>
    </row>
    <row r="58" spans="1:11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F58" s="15">
        <v>105.33086333333331</v>
      </c>
    </row>
    <row r="59" spans="1:11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F59" s="15">
        <v>106.43895999999999</v>
      </c>
    </row>
    <row r="60" spans="1:11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F60" s="15">
        <v>104.95336</v>
      </c>
    </row>
    <row r="61" spans="1:11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F61" s="15">
        <v>104.60026999999999</v>
      </c>
    </row>
    <row r="62" spans="1:11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F62" s="15">
        <v>104.64829833333333</v>
      </c>
    </row>
    <row r="63" spans="1:11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F63" s="15">
        <v>104.259315</v>
      </c>
    </row>
    <row r="64" spans="1:11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F64" s="15">
        <v>104.83313</v>
      </c>
    </row>
    <row r="65" spans="1:6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F65" s="15">
        <v>104.85245</v>
      </c>
    </row>
    <row r="66" spans="1:6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F66" s="15">
        <v>108.05581424272448</v>
      </c>
    </row>
    <row r="67" spans="1:6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F67" s="15">
        <v>106.871635</v>
      </c>
    </row>
    <row r="68" spans="1:6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F68" s="15">
        <v>107.93908</v>
      </c>
    </row>
    <row r="69" spans="1:6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F69" s="15">
        <v>109.37127</v>
      </c>
    </row>
    <row r="70" spans="1:6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F70" s="15">
        <v>113.05362108903954</v>
      </c>
    </row>
    <row r="71" spans="1:6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F71" s="15">
        <v>112.82876463564361</v>
      </c>
    </row>
    <row r="72" spans="1:6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F72" s="15">
        <v>114.19800600000001</v>
      </c>
    </row>
    <row r="73" spans="1:6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F73" s="15">
        <v>114.2362</v>
      </c>
    </row>
    <row r="74" spans="1:6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F74" s="15">
        <v>115.61494</v>
      </c>
    </row>
    <row r="75" spans="1:6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F75" s="15">
        <v>113.90192967035063</v>
      </c>
    </row>
    <row r="76" spans="1:6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F76" s="15">
        <v>114.49728</v>
      </c>
    </row>
    <row r="77" spans="1:6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F77" s="15">
        <v>114.376045</v>
      </c>
    </row>
    <row r="78" spans="1:6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F78" s="15">
        <v>112.83998</v>
      </c>
    </row>
    <row r="79" spans="1:6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F79" s="15">
        <v>112.13598378220715</v>
      </c>
    </row>
    <row r="80" spans="1:6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F80" s="15">
        <v>111.69307000000001</v>
      </c>
    </row>
    <row r="81" spans="1:6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F81" s="15">
        <v>111.71585</v>
      </c>
    </row>
    <row r="82" spans="1:6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F82" s="15">
        <v>113.00404</v>
      </c>
    </row>
    <row r="83" spans="1:6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F83" s="15">
        <v>113.35534336702261</v>
      </c>
    </row>
    <row r="84" spans="1:6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F84" s="15">
        <v>112.38232000000001</v>
      </c>
    </row>
    <row r="85" spans="1:6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F85" s="15">
        <v>112.21762</v>
      </c>
    </row>
    <row r="86" spans="1:6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F86" s="15">
        <v>115.496</v>
      </c>
    </row>
    <row r="87" spans="1:6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F87" s="15">
        <v>0</v>
      </c>
    </row>
    <row r="88" spans="1:6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F88" s="15">
        <v>124.00294157517109</v>
      </c>
    </row>
    <row r="89" spans="1:6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F89" s="15">
        <v>122.57004499999999</v>
      </c>
    </row>
    <row r="90" spans="1:6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F90" s="15">
        <v>124.29369</v>
      </c>
    </row>
    <row r="91" spans="1:6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F91" s="15">
        <v>125.15913</v>
      </c>
    </row>
    <row r="92" spans="1:6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F92" s="15">
        <v>122.644594022088</v>
      </c>
    </row>
    <row r="93" spans="1:6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F93" s="15">
        <v>125.275566</v>
      </c>
    </row>
    <row r="94" spans="1:6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F94" s="15">
        <v>122.90701</v>
      </c>
    </row>
    <row r="95" spans="1:6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F95" s="15">
        <v>119.81252000000001</v>
      </c>
    </row>
    <row r="96" spans="1:6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F96" s="15">
        <v>119.07625612652819</v>
      </c>
    </row>
    <row r="97" spans="1:6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F97" s="15">
        <v>118.53216999999999</v>
      </c>
    </row>
    <row r="98" spans="1:6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F98" s="15">
        <v>118.75336</v>
      </c>
    </row>
    <row r="99" spans="1:6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F99" s="15">
        <v>119.9481</v>
      </c>
    </row>
    <row r="100" spans="1:6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F100" s="15">
        <v>122.89878280190646</v>
      </c>
    </row>
    <row r="101" spans="1:6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F101" s="15">
        <v>121.428856</v>
      </c>
    </row>
    <row r="102" spans="1:6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F102" s="15">
        <v>122.31238999999999</v>
      </c>
    </row>
    <row r="103" spans="1:6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  <c r="F103" s="15">
        <v>124.98284</v>
      </c>
    </row>
    <row r="104" spans="1:6">
      <c r="A104" s="15"/>
      <c r="B104" t="s">
        <v>60</v>
      </c>
      <c r="C104" s="15"/>
      <c r="D104" s="15"/>
      <c r="E104" s="15"/>
      <c r="F104" s="15"/>
    </row>
    <row r="105" spans="1:6">
      <c r="A105" s="15"/>
      <c r="B105" t="s">
        <v>11</v>
      </c>
      <c r="C105" s="15"/>
      <c r="D105" s="15"/>
      <c r="E105" s="15"/>
      <c r="F105" s="15"/>
    </row>
    <row r="106" spans="1:6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  <c r="F106" s="15">
        <v>127.78157</v>
      </c>
    </row>
    <row r="107" spans="1:6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  <c r="F107" s="15">
        <v>128.15424999999999</v>
      </c>
    </row>
    <row r="108" spans="1:6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  <c r="F108" s="15">
        <v>129.95624000000001</v>
      </c>
    </row>
    <row r="109" spans="1:6">
      <c r="A109" s="15"/>
      <c r="B109" t="s">
        <v>15</v>
      </c>
      <c r="C109" s="15"/>
      <c r="D109" s="15"/>
      <c r="E109" s="15"/>
      <c r="F109" s="15">
        <v>131.6314048476911</v>
      </c>
    </row>
    <row r="110" spans="1:6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  <c r="F110" s="15">
        <v>133.64684</v>
      </c>
    </row>
    <row r="111" spans="1:6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  <c r="F111" s="15">
        <v>131.78209000000001</v>
      </c>
    </row>
    <row r="112" spans="1:6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  <c r="F112" s="15">
        <v>129.49812</v>
      </c>
    </row>
    <row r="113" spans="1:6">
      <c r="A113" s="15"/>
      <c r="B113" t="s">
        <v>19</v>
      </c>
      <c r="C113" s="15"/>
      <c r="D113" s="15"/>
      <c r="E113" s="15"/>
      <c r="F113" s="15"/>
    </row>
    <row r="114" spans="1:6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  <c r="F114" s="15">
        <v>130.79031000000001</v>
      </c>
    </row>
    <row r="115" spans="1:6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  <c r="F115" s="15">
        <v>134.34395000000001</v>
      </c>
    </row>
    <row r="116" spans="1:6">
      <c r="A116" s="15">
        <v>2022.04</v>
      </c>
      <c r="B116" t="s">
        <v>22</v>
      </c>
      <c r="C116" s="15">
        <v>541.76608888158205</v>
      </c>
      <c r="D116" s="15">
        <v>136.83524</v>
      </c>
      <c r="E116" s="15">
        <v>122.931854</v>
      </c>
      <c r="F116" s="15">
        <v>137.24484000000001</v>
      </c>
    </row>
    <row r="117" spans="1:6">
      <c r="A117" s="15"/>
      <c r="B117" t="s">
        <v>23</v>
      </c>
      <c r="C117" s="15"/>
      <c r="D117" s="15"/>
      <c r="E117" s="15"/>
      <c r="F117" s="15"/>
    </row>
    <row r="118" spans="1:6">
      <c r="A118" s="15"/>
      <c r="B118" t="s">
        <v>24</v>
      </c>
      <c r="C118" s="15"/>
      <c r="D118" s="15"/>
      <c r="E118" s="15"/>
      <c r="F118" s="15"/>
    </row>
    <row r="119" spans="1:6">
      <c r="A119" s="15"/>
      <c r="B119" t="s">
        <v>25</v>
      </c>
      <c r="C119" s="15"/>
      <c r="D119" s="15"/>
      <c r="E119" s="15"/>
      <c r="F119" s="15"/>
    </row>
    <row r="120" spans="1:6">
      <c r="A120" s="15"/>
      <c r="B120" t="s">
        <v>26</v>
      </c>
      <c r="C120" s="15"/>
      <c r="D120" s="15"/>
      <c r="E120" s="15"/>
      <c r="F120" s="15"/>
    </row>
  </sheetData>
  <conditionalFormatting sqref="A2:E120">
    <cfRule type="expression" dxfId="11" priority="5">
      <formula>RIGHT($B2,3)="Qtr"</formula>
    </cfRule>
    <cfRule type="expression" dxfId="10" priority="6">
      <formula>OR(LEFT($B2,1)="2", LEFT($B2,1)="1")</formula>
    </cfRule>
  </conditionalFormatting>
  <conditionalFormatting sqref="A104:F104">
    <cfRule type="expression" dxfId="9" priority="3">
      <formula>RIGHT($B104,3)="Qtr"</formula>
    </cfRule>
    <cfRule type="expression" dxfId="8" priority="4">
      <formula>OR(LEFT($B104,1)="2", LEFT($B104,1)="1")</formula>
    </cfRule>
  </conditionalFormatting>
  <conditionalFormatting sqref="F2:F120">
    <cfRule type="expression" dxfId="7" priority="1">
      <formula>RIGHT($B2,3)="Qtr"</formula>
    </cfRule>
    <cfRule type="expression" dxfId="6" priority="2">
      <formula>OR(LEFT($B2,1)="2", LEFT($B2,1)="1")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IPC</vt:lpstr>
      <vt:lpstr>Project</vt:lpstr>
      <vt:lpstr>Indices</vt:lpstr>
      <vt:lpstr>IPC!a</vt:lpstr>
      <vt:lpstr>amount</vt:lpstr>
      <vt:lpstr>IPC!b</vt:lpstr>
      <vt:lpstr>IPC!c_</vt:lpstr>
      <vt:lpstr>completionDate</vt:lpstr>
      <vt:lpstr>IPC!d</vt:lpstr>
      <vt:lpstr>dateType</vt:lpstr>
      <vt:lpstr>dateType1</vt:lpstr>
      <vt:lpstr>IPCtable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Project!Print_Area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2022-05-26T03:10:05Z</cp:lastPrinted>
  <dcterms:created xsi:type="dcterms:W3CDTF">2021-11-26T02:59:12Z</dcterms:created>
  <dcterms:modified xsi:type="dcterms:W3CDTF">2022-05-26T03:10:53Z</dcterms:modified>
</cp:coreProperties>
</file>