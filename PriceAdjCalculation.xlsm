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epos\Stuffs\"/>
    </mc:Choice>
  </mc:AlternateContent>
  <xr:revisionPtr revIDLastSave="0" documentId="13_ncr:1_{D1E17277-2E35-4FBF-9E2F-453BC625A528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For IPC" sheetId="5" r:id="rId1"/>
    <sheet name="pAdjAvg" sheetId="11" state="hidden" r:id="rId2"/>
    <sheet name="For Project" sheetId="10" r:id="rId3"/>
    <sheet name="Indices" sheetId="2" r:id="rId4"/>
  </sheets>
  <functionGroups builtInGroupCount="19"/>
  <externalReferences>
    <externalReference r:id="rId5"/>
  </externalReferences>
  <definedNames>
    <definedName name="a" localSheetId="0">'For IPC'!$A$17</definedName>
    <definedName name="amount">projectTable[Amount Paid on
Completion (w/o VAT)]</definedName>
    <definedName name="b" localSheetId="0">'For IPC'!$B$17</definedName>
    <definedName name="c_" localSheetId="0">'For IPC'!$C$17</definedName>
    <definedName name="completionDate">projectTable[Actual Date
of Completion]</definedName>
    <definedName name="d" localSheetId="0">'For IPC'!$D$17</definedName>
    <definedName name="dates">ipcTable[AD Date]</definedName>
    <definedName name="dateType">'For IPC'!$W$3</definedName>
    <definedName name="dateType1">'For Project'!$Z$3</definedName>
    <definedName name="GIVEMONTH">_xludf.LAMBDA(date, LEFT(padj(date,"qtr"),4)&amp;"."&amp;_xludf.XLOOKUP(TEXT(padj(date,"qtr"),"0.00"),[1]Indices!$A:$A,[1]Indices!$B:$B,,0))</definedName>
    <definedName name="intendedCompletionDate">'For IPC'!$H$12</definedName>
    <definedName name="lo" localSheetId="0">'For IPC'!$C$12</definedName>
    <definedName name="mo" localSheetId="0">'For IPC'!$D$12</definedName>
    <definedName name="no" localSheetId="0">'For IPC'!$E$12</definedName>
    <definedName name="originalIndex">projectTable[National Wholesale
Price Index (overall)]</definedName>
    <definedName name="presentDate">'For Project'!$B$3</definedName>
    <definedName name="presentIndex">'For Project'!$B$5</definedName>
    <definedName name="_xlnm.Print_Area" localSheetId="0">'For IPC'!$A$1:$L$30</definedName>
    <definedName name="_xlnm.Print_Area" localSheetId="1">pAdjAvg!$A$1:$Q$31</definedName>
    <definedName name="Remaining">'For IPC'!$K$26</definedName>
    <definedName name="VAT" localSheetId="0">'For IPC'!$K$27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21" i="5" l="1"/>
  <c r="N175" i="2" l="1"/>
  <c r="O175" i="2"/>
  <c r="P175" i="2"/>
  <c r="Q175" i="2"/>
  <c r="D9" i="10" a="1"/>
  <c r="D8" i="10" a="1"/>
  <c r="K21" i="11" a="1"/>
  <c r="L22" i="5" a="1"/>
  <c r="E9" i="10"/>
  <c r="L21" i="5" a="1"/>
  <c r="L20" i="5" a="1"/>
  <c r="L23" i="5" a="1"/>
  <c r="E8" i="10"/>
  <c r="D8" i="10" l="1"/>
  <c r="D9" i="10"/>
  <c r="L21" i="5"/>
  <c r="L23" i="5"/>
  <c r="L22" i="5"/>
  <c r="L20" i="5"/>
  <c r="K21" i="11"/>
  <c r="C25" i="11"/>
  <c r="O169" i="2"/>
  <c r="O168" i="2"/>
  <c r="E17" i="11"/>
  <c r="N166" i="2"/>
  <c r="N161" i="2"/>
  <c r="O161" i="2"/>
  <c r="P161" i="2"/>
  <c r="Q161" i="2"/>
  <c r="N162" i="2"/>
  <c r="O162" i="2"/>
  <c r="P162" i="2"/>
  <c r="Q162" i="2"/>
  <c r="N163" i="2"/>
  <c r="O163" i="2"/>
  <c r="P163" i="2"/>
  <c r="Q163" i="2"/>
  <c r="N164" i="2"/>
  <c r="O164" i="2"/>
  <c r="P164" i="2"/>
  <c r="Q164" i="2"/>
  <c r="N165" i="2"/>
  <c r="Q165" i="2"/>
  <c r="Q166" i="2"/>
  <c r="N167" i="2"/>
  <c r="O167" i="2"/>
  <c r="P167" i="2"/>
  <c r="Q167" i="2"/>
  <c r="N168" i="2"/>
  <c r="P168" i="2"/>
  <c r="Q168" i="2"/>
  <c r="N169" i="2"/>
  <c r="P169" i="2"/>
  <c r="Q169" i="2"/>
  <c r="N170" i="2"/>
  <c r="O170" i="2"/>
  <c r="P170" i="2"/>
  <c r="Q170" i="2"/>
  <c r="N171" i="2"/>
  <c r="O171" i="2"/>
  <c r="P171" i="2"/>
  <c r="Q171" i="2"/>
  <c r="N172" i="2"/>
  <c r="O172" i="2"/>
  <c r="P172" i="2"/>
  <c r="Q172" i="2"/>
  <c r="N173" i="2"/>
  <c r="O173" i="2"/>
  <c r="P173" i="2"/>
  <c r="Q173" i="2"/>
  <c r="N174" i="2"/>
  <c r="O174" i="2"/>
  <c r="P174" i="2"/>
  <c r="Q174" i="2"/>
  <c r="N176" i="2"/>
  <c r="O176" i="2"/>
  <c r="P176" i="2"/>
  <c r="Q176" i="2"/>
  <c r="N177" i="2"/>
  <c r="O177" i="2"/>
  <c r="P177" i="2"/>
  <c r="Q177" i="2"/>
  <c r="N178" i="2"/>
  <c r="O178" i="2"/>
  <c r="P178" i="2"/>
  <c r="Q178" i="2"/>
  <c r="N179" i="2"/>
  <c r="O179" i="2"/>
  <c r="P179" i="2"/>
  <c r="Q179" i="2"/>
  <c r="N180" i="2"/>
  <c r="O180" i="2"/>
  <c r="P180" i="2"/>
  <c r="Q180" i="2"/>
  <c r="N181" i="2"/>
  <c r="O181" i="2"/>
  <c r="P181" i="2"/>
  <c r="Q181" i="2"/>
  <c r="N182" i="2"/>
  <c r="O182" i="2"/>
  <c r="P182" i="2"/>
  <c r="Q182" i="2"/>
  <c r="F100" i="2"/>
  <c r="Q142" i="2"/>
  <c r="Q121" i="2"/>
  <c r="Q102" i="2"/>
  <c r="Q103" i="2"/>
  <c r="Q104" i="2"/>
  <c r="Q105" i="2"/>
  <c r="Q106" i="2"/>
  <c r="Q107" i="2"/>
  <c r="Q108" i="2"/>
  <c r="Q109" i="2"/>
  <c r="Q110" i="2"/>
  <c r="Q111" i="2"/>
  <c r="Q112" i="2"/>
  <c r="Q113" i="2"/>
  <c r="Q114" i="2"/>
  <c r="Q115" i="2"/>
  <c r="Q116" i="2"/>
  <c r="Q117" i="2"/>
  <c r="Q118" i="2"/>
  <c r="Q119" i="2"/>
  <c r="Q120" i="2"/>
  <c r="Q122" i="2"/>
  <c r="Q123" i="2"/>
  <c r="Q124" i="2"/>
  <c r="Q125" i="2"/>
  <c r="Q126" i="2"/>
  <c r="Q127" i="2"/>
  <c r="Q128" i="2"/>
  <c r="Q129" i="2"/>
  <c r="Q130" i="2"/>
  <c r="Q131" i="2"/>
  <c r="Q132" i="2"/>
  <c r="Q133" i="2"/>
  <c r="Q134" i="2"/>
  <c r="Q135" i="2"/>
  <c r="Q136" i="2"/>
  <c r="Q137" i="2"/>
  <c r="Q138" i="2"/>
  <c r="Q139" i="2"/>
  <c r="Q140" i="2"/>
  <c r="Q141" i="2"/>
  <c r="Q143" i="2"/>
  <c r="Q144" i="2"/>
  <c r="Q145" i="2"/>
  <c r="Q146" i="2"/>
  <c r="Q147" i="2"/>
  <c r="Q148" i="2"/>
  <c r="Q149" i="2"/>
  <c r="Q150" i="2"/>
  <c r="Q151" i="2"/>
  <c r="Q152" i="2"/>
  <c r="Q153" i="2"/>
  <c r="Q154" i="2"/>
  <c r="Q155" i="2"/>
  <c r="Q156" i="2"/>
  <c r="Q157" i="2"/>
  <c r="Q159" i="2"/>
  <c r="Q160" i="2"/>
  <c r="Q101" i="2"/>
  <c r="O101" i="2"/>
  <c r="P101" i="2"/>
  <c r="O102" i="2"/>
  <c r="P102" i="2"/>
  <c r="O103" i="2"/>
  <c r="P103" i="2"/>
  <c r="O104" i="2"/>
  <c r="P104" i="2"/>
  <c r="O105" i="2"/>
  <c r="P105" i="2"/>
  <c r="O106" i="2"/>
  <c r="P106" i="2"/>
  <c r="O107" i="2"/>
  <c r="P107" i="2"/>
  <c r="O108" i="2"/>
  <c r="P108" i="2"/>
  <c r="O109" i="2"/>
  <c r="P109" i="2"/>
  <c r="O110" i="2"/>
  <c r="P110" i="2"/>
  <c r="O111" i="2"/>
  <c r="P111" i="2"/>
  <c r="O112" i="2"/>
  <c r="P112" i="2"/>
  <c r="O113" i="2"/>
  <c r="P113" i="2"/>
  <c r="O114" i="2"/>
  <c r="P114" i="2"/>
  <c r="O115" i="2"/>
  <c r="P115" i="2"/>
  <c r="O116" i="2"/>
  <c r="P116" i="2"/>
  <c r="O117" i="2"/>
  <c r="P117" i="2"/>
  <c r="O118" i="2"/>
  <c r="P118" i="2"/>
  <c r="O119" i="2"/>
  <c r="P119" i="2"/>
  <c r="O120" i="2"/>
  <c r="P120" i="2"/>
  <c r="O121" i="2"/>
  <c r="P121" i="2"/>
  <c r="O122" i="2"/>
  <c r="P122" i="2"/>
  <c r="O123" i="2"/>
  <c r="P123" i="2"/>
  <c r="O124" i="2"/>
  <c r="P124" i="2"/>
  <c r="O125" i="2"/>
  <c r="P125" i="2"/>
  <c r="O126" i="2"/>
  <c r="P126" i="2"/>
  <c r="O127" i="2"/>
  <c r="P127" i="2"/>
  <c r="O128" i="2"/>
  <c r="P128" i="2"/>
  <c r="O129" i="2"/>
  <c r="P129" i="2"/>
  <c r="O130" i="2"/>
  <c r="P130" i="2"/>
  <c r="O131" i="2"/>
  <c r="P131" i="2"/>
  <c r="O132" i="2"/>
  <c r="P132" i="2"/>
  <c r="O133" i="2"/>
  <c r="P133" i="2"/>
  <c r="O134" i="2"/>
  <c r="P134" i="2"/>
  <c r="O135" i="2"/>
  <c r="P135" i="2"/>
  <c r="O136" i="2"/>
  <c r="P136" i="2"/>
  <c r="O137" i="2"/>
  <c r="P137" i="2"/>
  <c r="O138" i="2"/>
  <c r="P138" i="2"/>
  <c r="O139" i="2"/>
  <c r="P139" i="2"/>
  <c r="O140" i="2"/>
  <c r="P140" i="2"/>
  <c r="O141" i="2"/>
  <c r="P141" i="2"/>
  <c r="O142" i="2"/>
  <c r="P142" i="2"/>
  <c r="O143" i="2"/>
  <c r="P143" i="2"/>
  <c r="O144" i="2"/>
  <c r="P144" i="2"/>
  <c r="O145" i="2"/>
  <c r="P145" i="2"/>
  <c r="O146" i="2"/>
  <c r="P146" i="2"/>
  <c r="O147" i="2"/>
  <c r="P147" i="2"/>
  <c r="O148" i="2"/>
  <c r="P148" i="2"/>
  <c r="O149" i="2"/>
  <c r="P149" i="2"/>
  <c r="O150" i="2"/>
  <c r="P150" i="2"/>
  <c r="O151" i="2"/>
  <c r="P151" i="2"/>
  <c r="O152" i="2"/>
  <c r="P152" i="2"/>
  <c r="O153" i="2"/>
  <c r="P153" i="2"/>
  <c r="O154" i="2"/>
  <c r="P154" i="2"/>
  <c r="O155" i="2"/>
  <c r="P155" i="2"/>
  <c r="O156" i="2"/>
  <c r="P156" i="2"/>
  <c r="O157" i="2"/>
  <c r="P157" i="2"/>
  <c r="O158" i="2"/>
  <c r="P158" i="2"/>
  <c r="O159" i="2"/>
  <c r="P159" i="2"/>
  <c r="O160" i="2"/>
  <c r="P160" i="2"/>
  <c r="N100" i="2"/>
  <c r="N157" i="2"/>
  <c r="N158" i="2"/>
  <c r="N159" i="2"/>
  <c r="N160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01" i="2"/>
  <c r="N102" i="2"/>
  <c r="N103" i="2"/>
  <c r="N104" i="2"/>
  <c r="B12" i="11" a="1"/>
  <c r="D20" i="5" a="1"/>
  <c r="K24" i="11" a="1"/>
  <c r="J24" i="11" a="1"/>
  <c r="I23" i="11" a="1"/>
  <c r="M24" i="11" a="1"/>
  <c r="N24" i="11" a="1"/>
  <c r="M21" i="11" a="1"/>
  <c r="B12" i="5" a="1"/>
  <c r="H22" i="11" a="1"/>
  <c r="D21" i="11" a="1"/>
  <c r="G13" i="11" a="1"/>
  <c r="D22" i="11" a="1"/>
  <c r="J21" i="11" a="1"/>
  <c r="L23" i="11" a="1"/>
  <c r="H24" i="11" a="1"/>
  <c r="D23" i="5" a="1"/>
  <c r="A13" i="11" a="1"/>
  <c r="I24" i="11" a="1"/>
  <c r="N23" i="11" a="1"/>
  <c r="D22" i="5" a="1"/>
  <c r="N22" i="11" a="1"/>
  <c r="D21" i="5" a="1"/>
  <c r="D24" i="11" a="1"/>
  <c r="I21" i="11" a="1"/>
  <c r="M23" i="11" a="1"/>
  <c r="L22" i="11" a="1"/>
  <c r="L24" i="11" a="1"/>
  <c r="H21" i="11" a="1"/>
  <c r="D23" i="11" a="1"/>
  <c r="I22" i="11" a="1"/>
  <c r="L21" i="11" a="1"/>
  <c r="J22" i="11" a="1"/>
  <c r="J23" i="11" a="1"/>
  <c r="A13" i="5" a="1"/>
  <c r="H23" i="11" a="1"/>
  <c r="N21" i="11" a="1"/>
  <c r="K22" i="11" a="1"/>
  <c r="K23" i="11" a="1"/>
  <c r="M22" i="11" a="1"/>
  <c r="N24" i="11" l="1"/>
  <c r="N22" i="11"/>
  <c r="N23" i="11"/>
  <c r="N21" i="11"/>
  <c r="M24" i="11"/>
  <c r="M22" i="11"/>
  <c r="M23" i="11"/>
  <c r="M21" i="11"/>
  <c r="L24" i="11"/>
  <c r="L22" i="11"/>
  <c r="L23" i="11"/>
  <c r="L21" i="11"/>
  <c r="B12" i="11"/>
  <c r="K24" i="11"/>
  <c r="K22" i="11"/>
  <c r="K23" i="11"/>
  <c r="J24" i="11"/>
  <c r="J22" i="11"/>
  <c r="J23" i="11"/>
  <c r="J21" i="11"/>
  <c r="I22" i="11"/>
  <c r="I24" i="11"/>
  <c r="I23" i="11"/>
  <c r="I21" i="11"/>
  <c r="D23" i="5"/>
  <c r="H24" i="11"/>
  <c r="D24" i="11"/>
  <c r="H23" i="11"/>
  <c r="H22" i="11"/>
  <c r="H21" i="11"/>
  <c r="O165" i="2"/>
  <c r="P166" i="2"/>
  <c r="P165" i="2"/>
  <c r="A13" i="11"/>
  <c r="G13" i="11"/>
  <c r="D23" i="11"/>
  <c r="D22" i="11"/>
  <c r="D21" i="11"/>
  <c r="D22" i="5"/>
  <c r="D21" i="5"/>
  <c r="D20" i="5"/>
  <c r="A13" i="5"/>
  <c r="B12" i="5"/>
  <c r="O166" i="2"/>
  <c r="Q158" i="2"/>
  <c r="B14" i="11" a="1"/>
  <c r="B13" i="11" a="1"/>
  <c r="E22" i="11" a="1"/>
  <c r="G21" i="5" a="1"/>
  <c r="G22" i="5" a="1"/>
  <c r="F21" i="5" a="1"/>
  <c r="I21" i="5" a="1"/>
  <c r="E12" i="11" a="1"/>
  <c r="D12" i="5" a="1"/>
  <c r="I22" i="5" a="1"/>
  <c r="E22" i="5" a="1"/>
  <c r="E23" i="5" a="1"/>
  <c r="F23" i="5" a="1"/>
  <c r="B14" i="5" a="1"/>
  <c r="G20" i="5" a="1"/>
  <c r="I20" i="5" a="1"/>
  <c r="H23" i="5" a="1"/>
  <c r="E23" i="11" a="1"/>
  <c r="C12" i="5" a="1"/>
  <c r="H21" i="5" a="1"/>
  <c r="H20" i="5" a="1"/>
  <c r="I23" i="5" a="1"/>
  <c r="B13" i="5" a="1"/>
  <c r="E21" i="5" a="1"/>
  <c r="E24" i="11" a="1"/>
  <c r="E12" i="5" a="1"/>
  <c r="F20" i="5" a="1"/>
  <c r="G23" i="5" a="1"/>
  <c r="H22" i="5" a="1"/>
  <c r="D12" i="11" a="1"/>
  <c r="C12" i="11" a="1"/>
  <c r="E21" i="11" a="1"/>
  <c r="F22" i="5" a="1"/>
  <c r="F20" i="5" l="1"/>
  <c r="G20" i="5"/>
  <c r="F22" i="5"/>
  <c r="F21" i="5"/>
  <c r="F23" i="5"/>
  <c r="I20" i="5"/>
  <c r="H20" i="5"/>
  <c r="I22" i="5"/>
  <c r="G22" i="5"/>
  <c r="H22" i="5"/>
  <c r="H21" i="5"/>
  <c r="I21" i="5"/>
  <c r="G21" i="5"/>
  <c r="H23" i="5"/>
  <c r="E23" i="5"/>
  <c r="G23" i="5"/>
  <c r="I23" i="5"/>
  <c r="E24" i="11"/>
  <c r="D12" i="11"/>
  <c r="B14" i="11"/>
  <c r="B13" i="11"/>
  <c r="E12" i="11"/>
  <c r="C12" i="11"/>
  <c r="E21" i="11"/>
  <c r="E22" i="11"/>
  <c r="E23" i="11"/>
  <c r="E22" i="5"/>
  <c r="E21" i="5"/>
  <c r="B13" i="5"/>
  <c r="E12" i="5"/>
  <c r="C12" i="5"/>
  <c r="B14" i="5"/>
  <c r="D12" i="5"/>
  <c r="O21" i="11" l="1"/>
  <c r="O24" i="11"/>
  <c r="P24" i="11" s="1"/>
  <c r="J21" i="5"/>
  <c r="J23" i="5"/>
  <c r="K23" i="5" s="1"/>
  <c r="J20" i="5"/>
  <c r="J22" i="5"/>
  <c r="K22" i="5" s="1"/>
  <c r="O22" i="11"/>
  <c r="P22" i="11" s="1"/>
  <c r="O23" i="11"/>
  <c r="P23" i="11" s="1"/>
  <c r="P21" i="11"/>
  <c r="G13" i="5" a="1"/>
  <c r="C9" i="10" a="1"/>
  <c r="P25" i="11" l="1"/>
  <c r="P27" i="11" s="1"/>
  <c r="P28" i="11" s="1"/>
  <c r="P29" i="11" s="1"/>
  <c r="K20" i="5"/>
  <c r="C9" i="10"/>
  <c r="G13" i="5"/>
  <c r="B3" i="10"/>
  <c r="B36" i="11" s="1" a="1"/>
  <c r="B4" i="10" a="1"/>
  <c r="B36" i="11" l="1"/>
  <c r="B4" i="10"/>
  <c r="C3" i="10" a="1"/>
  <c r="B5" i="10" a="1"/>
  <c r="B33" i="5" a="1"/>
  <c r="B33" i="5" l="1"/>
  <c r="B5" i="10"/>
  <c r="C3" i="10"/>
  <c r="E17" i="5" l="1"/>
  <c r="C8" i="10" a="1"/>
  <c r="E20" i="5" a="1"/>
  <c r="E20" i="5" l="1"/>
  <c r="G8" i="10"/>
  <c r="H8" i="10" s="1"/>
  <c r="G9" i="10"/>
  <c r="H9" i="10" s="1"/>
  <c r="C8" i="10"/>
  <c r="C24" i="5"/>
  <c r="K24" i="5" l="1"/>
  <c r="K26" i="5" s="1"/>
  <c r="K27" i="5" s="1"/>
  <c r="K28" i="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<sst xmlns="http://schemas.openxmlformats.org/spreadsheetml/2006/main" count="288" uniqueCount="133">
  <si>
    <t>SN</t>
  </si>
  <si>
    <t>Date</t>
  </si>
  <si>
    <t>Labour</t>
  </si>
  <si>
    <t>Material</t>
  </si>
  <si>
    <t>Equipment</t>
  </si>
  <si>
    <t>1999/00</t>
  </si>
  <si>
    <t>2012/13</t>
  </si>
  <si>
    <t>2013/14</t>
  </si>
  <si>
    <t>2014/15</t>
  </si>
  <si>
    <t>2015/16</t>
  </si>
  <si>
    <t>2016/17</t>
  </si>
  <si>
    <t>I Qtr</t>
  </si>
  <si>
    <t>Jul/Aug</t>
  </si>
  <si>
    <t>Aug/Sep</t>
  </si>
  <si>
    <t>Sep/Oct</t>
  </si>
  <si>
    <t>II Qtr</t>
  </si>
  <si>
    <t>Oct/Nov</t>
  </si>
  <si>
    <t>Nov/Dec</t>
  </si>
  <si>
    <t>Dec/Jan</t>
  </si>
  <si>
    <t>III Qtr</t>
  </si>
  <si>
    <t>Jan/Feb</t>
  </si>
  <si>
    <t>Feb/Mar</t>
  </si>
  <si>
    <t>Mar/Apr</t>
  </si>
  <si>
    <t>IV Qtr</t>
  </si>
  <si>
    <t>Apr/May</t>
  </si>
  <si>
    <t>May/Jun</t>
  </si>
  <si>
    <t>Jun/Jul</t>
  </si>
  <si>
    <t>2017/18</t>
  </si>
  <si>
    <t>2018/19</t>
  </si>
  <si>
    <t>2019/20</t>
  </si>
  <si>
    <t>2020/21</t>
  </si>
  <si>
    <t>2000/01</t>
  </si>
  <si>
    <t>2001/02</t>
  </si>
  <si>
    <t>2002/03</t>
  </si>
  <si>
    <t>2003/04</t>
  </si>
  <si>
    <t>2004/05</t>
  </si>
  <si>
    <t>2005/06</t>
  </si>
  <si>
    <t>2006/07</t>
  </si>
  <si>
    <t>2007/08</t>
  </si>
  <si>
    <t>2008/09</t>
  </si>
  <si>
    <t>2009/10</t>
  </si>
  <si>
    <t>2010/11</t>
  </si>
  <si>
    <t>2011/12</t>
  </si>
  <si>
    <t>Contract Name:</t>
  </si>
  <si>
    <t>Contract ID No.:</t>
  </si>
  <si>
    <t>Price Adjustment Coefficients</t>
  </si>
  <si>
    <t>TOTAL</t>
  </si>
  <si>
    <t>Net Price Adj.
Amount</t>
  </si>
  <si>
    <t>2021/22</t>
  </si>
  <si>
    <t>IPC No.</t>
  </si>
  <si>
    <r>
      <rPr>
        <b/>
        <sz val="11"/>
        <color theme="1"/>
        <rFont val="Calibri"/>
        <family val="2"/>
        <scheme val="minor"/>
      </rPr>
      <t xml:space="preserve">Indices
</t>
    </r>
    <r>
      <rPr>
        <sz val="9"/>
        <color theme="1"/>
        <rFont val="Calibri"/>
        <family val="2"/>
        <scheme val="minor"/>
      </rPr>
      <t>(for 30 days prior to IPC Submission Date)</t>
    </r>
  </si>
  <si>
    <t>Labour
(b)</t>
  </si>
  <si>
    <t>Material
(c)</t>
  </si>
  <si>
    <t>Equipment
(d)</t>
  </si>
  <si>
    <t>IPC Amount
for Price Adj.</t>
  </si>
  <si>
    <t>13% VAT</t>
  </si>
  <si>
    <t>GRAND TOTAL</t>
  </si>
  <si>
    <t>Overall</t>
  </si>
  <si>
    <t>Present Date</t>
  </si>
  <si>
    <t>Project</t>
  </si>
  <si>
    <t>National Wholesale Price Index
(overall)</t>
  </si>
  <si>
    <t>Actual Date
of Completion</t>
  </si>
  <si>
    <t>National Wholesale
Price Index (overall)</t>
  </si>
  <si>
    <t>Amount Paid on
Completion (w/o VAT)</t>
  </si>
  <si>
    <t>Present Value
(w/o VAT)</t>
  </si>
  <si>
    <t>p1</t>
  </si>
  <si>
    <t>Contractor:</t>
  </si>
  <si>
    <t>PRICE ADJUSTMENT for IPCs</t>
  </si>
  <si>
    <t>AD Date</t>
  </si>
  <si>
    <t>Sources for indices:</t>
  </si>
  <si>
    <r>
      <t xml:space="preserve">Visit </t>
    </r>
    <r>
      <rPr>
        <b/>
        <sz val="22"/>
        <color theme="4"/>
        <rFont val="Calibri"/>
        <family val="2"/>
        <scheme val="minor"/>
      </rPr>
      <t>ShresthaPragyan.com.np</t>
    </r>
    <r>
      <rPr>
        <sz val="22"/>
        <color theme="4"/>
        <rFont val="Calibri"/>
        <family val="2"/>
        <scheme val="minor"/>
      </rPr>
      <t xml:space="preserve"> for updates!</t>
    </r>
  </si>
  <si>
    <t>30 days prior to IPC Submission Date</t>
  </si>
  <si>
    <t>Month</t>
  </si>
  <si>
    <t>Latest available data for</t>
  </si>
  <si>
    <t>Remarks</t>
  </si>
  <si>
    <t>2022/23</t>
  </si>
  <si>
    <t>30 days prior to Last Date for Bid Submission</t>
  </si>
  <si>
    <t>Base Indices (for 30 days prior to Last Date for Bid Submission)</t>
  </si>
  <si>
    <t>Agreement Date</t>
  </si>
  <si>
    <t>Multplying Factor</t>
  </si>
  <si>
    <t>p2</t>
  </si>
  <si>
    <r>
      <t>L</t>
    </r>
    <r>
      <rPr>
        <vertAlign val="subscript"/>
        <sz val="11"/>
        <color theme="1"/>
        <rFont val="Calibri"/>
        <family val="2"/>
        <scheme val="minor"/>
      </rPr>
      <t>o</t>
    </r>
  </si>
  <si>
    <r>
      <t>M</t>
    </r>
    <r>
      <rPr>
        <vertAlign val="subscript"/>
        <sz val="11"/>
        <color theme="1"/>
        <rFont val="Calibri"/>
        <family val="2"/>
        <scheme val="minor"/>
      </rPr>
      <t>o</t>
    </r>
  </si>
  <si>
    <r>
      <t>E</t>
    </r>
    <r>
      <rPr>
        <vertAlign val="subscript"/>
        <sz val="11"/>
        <color theme="1"/>
        <rFont val="Calibri"/>
        <family val="2"/>
        <scheme val="minor"/>
      </rPr>
      <t>o</t>
    </r>
  </si>
  <si>
    <r>
      <t>L</t>
    </r>
    <r>
      <rPr>
        <vertAlign val="subscript"/>
        <sz val="11"/>
        <color theme="1"/>
        <rFont val="Calibri"/>
        <family val="2"/>
        <scheme val="minor"/>
      </rPr>
      <t>n</t>
    </r>
  </si>
  <si>
    <r>
      <t>M</t>
    </r>
    <r>
      <rPr>
        <vertAlign val="subscript"/>
        <sz val="11"/>
        <color theme="1"/>
        <rFont val="Calibri"/>
        <family val="2"/>
        <scheme val="minor"/>
      </rPr>
      <t>n</t>
    </r>
  </si>
  <si>
    <r>
      <t>E</t>
    </r>
    <r>
      <rPr>
        <vertAlign val="subscript"/>
        <sz val="11"/>
        <color theme="1"/>
        <rFont val="Calibri"/>
        <family val="2"/>
        <scheme val="minor"/>
      </rPr>
      <t>n</t>
    </r>
  </si>
  <si>
    <t>*Price Adj.
factor</t>
  </si>
  <si>
    <t>Non-Adjustable
(A)</t>
  </si>
  <si>
    <t>Employer:</t>
  </si>
  <si>
    <t>Project's Present Value</t>
  </si>
  <si>
    <t>IPC Submission
Date</t>
  </si>
  <si>
    <t>Last Date for
Bid Submission</t>
  </si>
  <si>
    <t>provisional</t>
  </si>
  <si>
    <t>2078-2-1</t>
  </si>
  <si>
    <t>data upto:</t>
  </si>
  <si>
    <t>L: NRB National Salary and Wage Rate Index, Construction Labourer</t>
  </si>
  <si>
    <t>M: NRB National Wholesale Price Index,  Construction Material</t>
  </si>
  <si>
    <t>E: NRB National Wholesale Price Index, Machinery and Equipment</t>
  </si>
  <si>
    <t>As per G.C.C. 53.1</t>
  </si>
  <si>
    <t>Previously Paid</t>
  </si>
  <si>
    <t>Remaining</t>
  </si>
  <si>
    <t>2077-04-30</t>
  </si>
  <si>
    <t>2023/24</t>
  </si>
  <si>
    <t>List of Indices</t>
  </si>
  <si>
    <t>Average of Indices</t>
  </si>
  <si>
    <t>IPC Submission
 Date</t>
  </si>
  <si>
    <t>IPC Amount
 for Price Adj.</t>
  </si>
  <si>
    <t>Start Date related to pAdj</t>
  </si>
  <si>
    <t>End Date related to pAdj</t>
  </si>
  <si>
    <t>Months</t>
  </si>
  <si>
    <t>Ln</t>
  </si>
  <si>
    <t>Mn</t>
  </si>
  <si>
    <t>En</t>
  </si>
  <si>
    <t>*Price Adj.
 factor</t>
  </si>
  <si>
    <t>Net Price Adj.
 Amount</t>
  </si>
  <si>
    <t>M: NRB National Wholesale Price Index, Construction Material</t>
  </si>
  <si>
    <t>2078-1-4</t>
  </si>
  <si>
    <t>2078-5-28</t>
  </si>
  <si>
    <t>2078-8-16</t>
  </si>
  <si>
    <t>2078-10-26</t>
  </si>
  <si>
    <t>L</t>
  </si>
  <si>
    <t>M</t>
  </si>
  <si>
    <t>Check if revised, from QEB</t>
  </si>
  <si>
    <r>
      <t>L</t>
    </r>
    <r>
      <rPr>
        <vertAlign val="subscript"/>
        <sz val="11"/>
        <color theme="1"/>
        <rFont val="Calibri"/>
        <family val="2"/>
      </rPr>
      <t>o</t>
    </r>
  </si>
  <si>
    <r>
      <t>M</t>
    </r>
    <r>
      <rPr>
        <vertAlign val="subscript"/>
        <sz val="11"/>
        <color theme="1"/>
        <rFont val="Calibri"/>
        <family val="2"/>
      </rPr>
      <t>o</t>
    </r>
  </si>
  <si>
    <r>
      <t>E</t>
    </r>
    <r>
      <rPr>
        <vertAlign val="subscript"/>
        <sz val="11"/>
        <color theme="1"/>
        <rFont val="Calibri"/>
        <family val="2"/>
      </rPr>
      <t>o</t>
    </r>
  </si>
  <si>
    <t>2079-04-2</t>
  </si>
  <si>
    <t>2022-6-18</t>
  </si>
  <si>
    <t>2075-04-30</t>
  </si>
  <si>
    <t>E</t>
  </si>
  <si>
    <t>2079-07-26</t>
  </si>
  <si>
    <t>2080-09-2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</si>
</sst>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8" formatCode="&quot;$&quot;#,##0.00_);[Red]\(&quot;$&quot;#,##0.00\)"/>
    <numFmt numFmtId="164" formatCode="&quot;₹&quot;\ #,##0.00;[Red]&quot;₹&quot;\ \-#,##0.00"/>
    <numFmt numFmtId="165" formatCode="_ * #,##0_ ;_ * \-#,##0_ ;_ * &quot;-&quot;_ ;_ @_ "/>
    <numFmt numFmtId="166" formatCode="_ * #,##0.00_ ;_ * \-#,##0.00_ ;_ * &quot;-&quot;??_ ;_ @_ "/>
    <numFmt numFmtId="167" formatCode="0.000"/>
    <numFmt numFmtId="168" formatCode="@\ &quot;(AD)&quot;"/>
    <numFmt numFmtId="169" formatCode="@\ &quot;BS&quot;"/>
    <numFmt numFmtId="170" formatCode="_ * #,##0.00_ ;_ * \(#,##0.00\)_ ;_ * &quot;-&quot;??_ ;_ @_ "/>
  </numFmts>
  <fonts count="57">
    <font>
      <sz val="11"/>
      <color theme="1"/>
      <name val="Calibri"/>
      <family val="2"/>
      <scheme val="minor"/>
    </font>
    <font>
      <sz val="8"/>
      <name val="Times New Roman"/>
      <family val="1"/>
    </font>
    <font>
      <sz val="10"/>
      <name val="Geneva"/>
    </font>
    <font>
      <sz val="10"/>
      <name val="Arial"/>
      <family val="2"/>
    </font>
    <font>
      <sz val="10"/>
      <name val="Courier"/>
      <family val="3"/>
    </font>
    <font>
      <vertAlign val="subscript"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i/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Arial"/>
      <family val="2"/>
    </font>
    <font>
      <sz val="9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22"/>
      <color theme="4"/>
      <name val="Calibri"/>
      <family val="2"/>
      <scheme val="minor"/>
    </font>
    <font>
      <sz val="22"/>
      <color theme="4"/>
      <name val="Calibri"/>
      <family val="2"/>
      <scheme val="minor"/>
    </font>
    <font>
      <sz val="8"/>
      <name val="Times New Roman"/>
      <family val="1"/>
    </font>
    <font>
      <i/>
      <sz val="11"/>
      <color theme="1" tint="0.34998626667073579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i/>
      <sz val="1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</font>
    <font>
      <sz val="10"/>
      <color theme="1"/>
      <name val="Calibri"/>
      <family val="2"/>
      <scheme val="minor"/>
    </font>
    <font>
      <sz val="10"/>
      <name val="Arial"/>
      <family val="2"/>
    </font>
    <font>
      <b/>
      <i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b/>
      <sz val="11"/>
      <color rgb="FFFF0000"/>
      <name val="Calibri"/>
      <family val="2"/>
      <scheme val="minor"/>
    </font>
    <font>
      <i/>
      <sz val="8"/>
      <color rgb="FF000000"/>
      <name val="Calibri"/>
      <family val="2"/>
    </font>
    <font>
      <b/>
      <u/>
      <sz val="14"/>
      <color theme="1"/>
      <name val="Calibri"/>
      <family val="2"/>
      <scheme val="minor"/>
    </font>
    <font>
      <sz val="11"/>
      <color theme="1"/>
      <name val="Calibri"/>
      <family val="2"/>
    </font>
    <font>
      <sz val="10"/>
      <color rgb="FF000000"/>
      <name val="Calibri"/>
      <family val="2"/>
      <scheme val="minor"/>
    </font>
    <font>
      <sz val="11"/>
      <color rgb="FF000000"/>
      <name val="Calibri"/>
      <family val="2"/>
    </font>
    <font>
      <sz val="9"/>
      <color rgb="FF000000"/>
      <name val="Calibri"/>
      <family val="2"/>
    </font>
    <font>
      <b/>
      <i/>
      <sz val="11"/>
      <color rgb="FF000000"/>
      <name val="Calibri"/>
      <family val="2"/>
    </font>
    <font>
      <b/>
      <sz val="11"/>
      <color rgb="FFFF0000"/>
      <name val="Calibri"/>
      <family val="2"/>
    </font>
    <font>
      <i/>
      <u/>
      <sz val="11"/>
      <color rgb="FF000000"/>
      <name val="Calibri"/>
      <family val="2"/>
    </font>
    <font>
      <i/>
      <sz val="11"/>
      <color rgb="FF000000"/>
      <name val="Calibri"/>
      <family val="2"/>
    </font>
    <font>
      <sz val="8"/>
      <name val="Calibri"/>
      <family val="2"/>
      <scheme val="minor"/>
    </font>
    <font>
      <sz val="10"/>
      <color theme="1"/>
      <name val="Calibri"/>
      <family val="2"/>
    </font>
    <font>
      <sz val="10"/>
      <color rgb="FF000000"/>
      <name val="Calibri"/>
      <family val="2"/>
    </font>
    <font>
      <b/>
      <u/>
      <sz val="18"/>
      <color theme="1"/>
      <name val="Calibri"/>
      <family val="2"/>
    </font>
    <font>
      <b/>
      <u/>
      <sz val="14"/>
      <color theme="1"/>
      <name val="Calibri"/>
      <family val="2"/>
    </font>
    <font>
      <b/>
      <sz val="11"/>
      <color theme="1"/>
      <name val="Calibri"/>
      <family val="2"/>
    </font>
    <font>
      <vertAlign val="subscript"/>
      <sz val="11"/>
      <color theme="1"/>
      <name val="Calibri"/>
      <family val="2"/>
    </font>
    <font>
      <i/>
      <sz val="11"/>
      <name val="Calibri"/>
      <family val="2"/>
    </font>
    <font>
      <i/>
      <sz val="11"/>
      <color theme="1" tint="0.34998626667073579"/>
      <name val="Calibri"/>
      <family val="2"/>
    </font>
    <font>
      <sz val="11"/>
      <name val="Calibri"/>
      <family val="2"/>
    </font>
    <font>
      <i/>
      <sz val="10"/>
      <color theme="1"/>
      <name val="Calibri"/>
      <family val="2"/>
    </font>
    <font>
      <i/>
      <sz val="8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i/>
      <sz val="8"/>
      <color rgb="FF000000"/>
      <name val="Calibri"/>
      <family val="2"/>
    </font>
    <font>
      <u/>
      <sz val="12"/>
      <color theme="1"/>
      <name val="Calibri"/>
      <family val="2"/>
      <scheme val="minor"/>
    </font>
    <font>
      <i/>
      <sz val="12"/>
      <color theme="1" tint="0.34998626667073579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u/>
      <sz val="20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rgb="FFFFFF00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double">
        <color rgb="FF000000"/>
      </bottom>
      <diagonal/>
    </border>
  </borders>
  <cellStyleXfs count="75">
    <xf numFmtId="0" fontId="0" fillId="0" borderId="0"/>
    <xf numFmtId="0" fontId="1" fillId="0" borderId="0">
      <alignment vertical="center"/>
    </xf>
    <xf numFmtId="40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1" fillId="0" borderId="0">
      <alignment vertical="center"/>
    </xf>
    <xf numFmtId="0" fontId="3" fillId="0" borderId="0"/>
    <xf numFmtId="0" fontId="4" fillId="0" borderId="0"/>
    <xf numFmtId="0" fontId="3" fillId="0" borderId="0"/>
    <xf numFmtId="0" fontId="3" fillId="0" borderId="0"/>
    <xf numFmtId="9" fontId="2" fillId="0" borderId="0" applyFont="0" applyFill="0" applyBorder="0" applyAlignment="0" applyProtection="0"/>
    <xf numFmtId="0" fontId="1" fillId="0" borderId="0">
      <alignment vertical="center"/>
    </xf>
    <xf numFmtId="166" fontId="6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6" fillId="0" borderId="0"/>
    <xf numFmtId="166" fontId="3" fillId="0" borderId="0" applyFont="0" applyFill="0" applyBorder="0" applyAlignment="0" applyProtection="0"/>
    <xf numFmtId="0" fontId="3" fillId="0" borderId="0"/>
    <xf numFmtId="0" fontId="3" fillId="0" borderId="0" applyAlignment="0"/>
    <xf numFmtId="0" fontId="6" fillId="0" borderId="0"/>
    <xf numFmtId="0" fontId="11" fillId="0" borderId="0"/>
    <xf numFmtId="0" fontId="3" fillId="0" borderId="0"/>
    <xf numFmtId="0" fontId="6" fillId="0" borderId="0"/>
    <xf numFmtId="0" fontId="12" fillId="0" borderId="0"/>
    <xf numFmtId="0" fontId="3" fillId="0" borderId="0"/>
    <xf numFmtId="0" fontId="6" fillId="0" borderId="0"/>
    <xf numFmtId="166" fontId="6" fillId="0" borderId="0" applyFont="0" applyFill="0" applyBorder="0" applyAlignment="0" applyProtection="0"/>
    <xf numFmtId="0" fontId="3" fillId="0" borderId="0"/>
    <xf numFmtId="0" fontId="6" fillId="0" borderId="0"/>
    <xf numFmtId="0" fontId="3" fillId="0" borderId="0"/>
    <xf numFmtId="166" fontId="6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/>
    <xf numFmtId="0" fontId="6" fillId="0" borderId="0"/>
    <xf numFmtId="0" fontId="3" fillId="0" borderId="0"/>
    <xf numFmtId="0" fontId="12" fillId="0" borderId="0"/>
    <xf numFmtId="0" fontId="12" fillId="0" borderId="0"/>
    <xf numFmtId="9" fontId="12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166" fontId="3" fillId="0" borderId="0" applyFont="0" applyFill="0" applyBorder="0" applyAlignment="0" applyProtection="0"/>
    <xf numFmtId="0" fontId="3" fillId="0" borderId="0"/>
    <xf numFmtId="166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3" fillId="0" borderId="0"/>
    <xf numFmtId="0" fontId="3" fillId="0" borderId="0"/>
    <xf numFmtId="166" fontId="3" fillId="0" borderId="0" applyFont="0" applyFill="0" applyBorder="0" applyAlignment="0" applyProtection="0"/>
    <xf numFmtId="0" fontId="12" fillId="0" borderId="0"/>
    <xf numFmtId="0" fontId="3" fillId="0" borderId="0"/>
    <xf numFmtId="0" fontId="12" fillId="0" borderId="0"/>
    <xf numFmtId="0" fontId="12" fillId="0" borderId="0"/>
    <xf numFmtId="166" fontId="12" fillId="0" borderId="0" applyFont="0" applyFill="0" applyBorder="0" applyAlignment="0" applyProtection="0"/>
    <xf numFmtId="0" fontId="3" fillId="0" borderId="0"/>
    <xf numFmtId="0" fontId="14" fillId="0" borderId="0" applyNumberFormat="0" applyFill="0" applyBorder="0" applyAlignment="0" applyProtection="0"/>
    <xf numFmtId="0" fontId="17" fillId="0" borderId="0">
      <alignment vertical="center"/>
    </xf>
    <xf numFmtId="8" fontId="2" fillId="0" borderId="0" applyFont="0" applyFill="0" applyBorder="0" applyAlignment="0" applyProtection="0"/>
    <xf numFmtId="0" fontId="3" fillId="0" borderId="0"/>
    <xf numFmtId="0" fontId="22" fillId="0" borderId="0" applyNumberFormat="0" applyFill="0" applyBorder="0" applyAlignment="0" applyProtection="0">
      <alignment vertical="top"/>
      <protection locked="0"/>
    </xf>
    <xf numFmtId="0" fontId="24" fillId="0" borderId="0"/>
    <xf numFmtId="0" fontId="3" fillId="0" borderId="0"/>
    <xf numFmtId="0" fontId="31" fillId="0" borderId="0"/>
  </cellStyleXfs>
  <cellXfs count="166">
    <xf numFmtId="0" fontId="0" fillId="0" borderId="0" xfId="0"/>
    <xf numFmtId="2" fontId="0" fillId="0" borderId="0" xfId="0" applyNumberFormat="1"/>
    <xf numFmtId="1" fontId="0" fillId="0" borderId="0" xfId="0" applyNumberFormat="1"/>
    <xf numFmtId="0" fontId="7" fillId="0" borderId="0" xfId="0" applyFont="1" applyAlignment="1">
      <alignment horizontal="center"/>
    </xf>
    <xf numFmtId="2" fontId="7" fillId="2" borderId="1" xfId="0" applyNumberFormat="1" applyFont="1" applyFill="1" applyBorder="1" applyAlignment="1">
      <alignment horizontal="center"/>
    </xf>
    <xf numFmtId="168" fontId="18" fillId="0" borderId="0" xfId="0" applyNumberFormat="1" applyFont="1" applyAlignment="1">
      <alignment horizontal="center"/>
    </xf>
    <xf numFmtId="166" fontId="7" fillId="0" borderId="0" xfId="0" applyNumberFormat="1" applyFont="1"/>
    <xf numFmtId="49" fontId="7" fillId="0" borderId="0" xfId="0" applyNumberFormat="1" applyFont="1" applyAlignment="1">
      <alignment horizontal="right"/>
    </xf>
    <xf numFmtId="14" fontId="7" fillId="0" borderId="0" xfId="0" applyNumberFormat="1" applyFont="1" applyAlignment="1">
      <alignment horizontal="center"/>
    </xf>
    <xf numFmtId="169" fontId="7" fillId="2" borderId="1" xfId="0" applyNumberFormat="1" applyFont="1" applyFill="1" applyBorder="1" applyAlignment="1">
      <alignment horizontal="center"/>
    </xf>
    <xf numFmtId="0" fontId="21" fillId="0" borderId="1" xfId="0" applyFont="1" applyBorder="1" applyAlignment="1">
      <alignment horizontal="left"/>
    </xf>
    <xf numFmtId="0" fontId="20" fillId="0" borderId="0" xfId="0" applyFont="1" applyAlignment="1">
      <alignment horizontal="center"/>
    </xf>
    <xf numFmtId="49" fontId="9" fillId="0" borderId="0" xfId="0" applyNumberFormat="1" applyFont="1"/>
    <xf numFmtId="49" fontId="10" fillId="0" borderId="0" xfId="0" applyNumberFormat="1" applyFont="1"/>
    <xf numFmtId="0" fontId="13" fillId="0" borderId="12" xfId="0" applyFont="1" applyBorder="1" applyAlignment="1">
      <alignment horizontal="center" vertical="center" wrapText="1"/>
    </xf>
    <xf numFmtId="166" fontId="25" fillId="0" borderId="0" xfId="0" applyNumberFormat="1" applyFont="1"/>
    <xf numFmtId="166" fontId="7" fillId="0" borderId="11" xfId="0" applyNumberFormat="1" applyFont="1" applyBorder="1"/>
    <xf numFmtId="166" fontId="27" fillId="0" borderId="0" xfId="0" applyNumberFormat="1" applyFont="1"/>
    <xf numFmtId="14" fontId="21" fillId="0" borderId="1" xfId="0" applyNumberFormat="1" applyFont="1" applyBorder="1" applyAlignment="1">
      <alignment horizontal="left"/>
    </xf>
    <xf numFmtId="49" fontId="7" fillId="0" borderId="13" xfId="0" applyNumberFormat="1" applyFont="1" applyBorder="1" applyAlignment="1">
      <alignment horizontal="right"/>
    </xf>
    <xf numFmtId="166" fontId="7" fillId="0" borderId="13" xfId="0" applyNumberFormat="1" applyFont="1" applyBorder="1"/>
    <xf numFmtId="0" fontId="10" fillId="0" borderId="0" xfId="0" applyFont="1"/>
    <xf numFmtId="0" fontId="16" fillId="0" borderId="0" xfId="0" applyFont="1" applyAlignment="1">
      <alignment horizontal="left"/>
    </xf>
    <xf numFmtId="49" fontId="27" fillId="0" borderId="0" xfId="0" applyNumberFormat="1" applyFont="1" applyAlignment="1">
      <alignment horizontal="right"/>
    </xf>
    <xf numFmtId="0" fontId="32" fillId="0" borderId="0" xfId="74" applyFont="1" applyAlignment="1">
      <alignment horizontal="center" vertical="center"/>
    </xf>
    <xf numFmtId="0" fontId="32" fillId="0" borderId="0" xfId="74" applyFont="1" applyAlignment="1">
      <alignment vertical="center"/>
    </xf>
    <xf numFmtId="0" fontId="26" fillId="0" borderId="0" xfId="74" applyFont="1" applyAlignment="1">
      <alignment horizontal="center" vertical="center"/>
    </xf>
    <xf numFmtId="0" fontId="32" fillId="0" borderId="0" xfId="74" applyFont="1" applyAlignment="1">
      <alignment horizontal="left" vertical="center"/>
    </xf>
    <xf numFmtId="0" fontId="26" fillId="0" borderId="0" xfId="74" applyFont="1" applyAlignment="1">
      <alignment vertical="center"/>
    </xf>
    <xf numFmtId="0" fontId="34" fillId="0" borderId="0" xfId="74" applyFont="1" applyAlignment="1">
      <alignment vertical="center"/>
    </xf>
    <xf numFmtId="0" fontId="35" fillId="0" borderId="0" xfId="74" applyFont="1" applyAlignment="1">
      <alignment horizontal="right" vertical="center"/>
    </xf>
    <xf numFmtId="4" fontId="35" fillId="3" borderId="0" xfId="74" applyNumberFormat="1" applyFont="1" applyFill="1" applyAlignment="1">
      <alignment vertical="center"/>
    </xf>
    <xf numFmtId="0" fontId="26" fillId="0" borderId="0" xfId="74" applyFont="1" applyAlignment="1">
      <alignment horizontal="right" vertical="center"/>
    </xf>
    <xf numFmtId="4" fontId="26" fillId="0" borderId="0" xfId="74" applyNumberFormat="1" applyFont="1" applyAlignment="1">
      <alignment vertical="center"/>
    </xf>
    <xf numFmtId="0" fontId="36" fillId="0" borderId="0" xfId="74" applyFont="1" applyAlignment="1">
      <alignment vertical="center"/>
    </xf>
    <xf numFmtId="0" fontId="26" fillId="0" borderId="15" xfId="74" applyFont="1" applyBorder="1" applyAlignment="1">
      <alignment horizontal="right" vertical="center"/>
    </xf>
    <xf numFmtId="4" fontId="26" fillId="0" borderId="15" xfId="74" applyNumberFormat="1" applyFont="1" applyBorder="1" applyAlignment="1">
      <alignment vertical="center"/>
    </xf>
    <xf numFmtId="0" fontId="37" fillId="0" borderId="0" xfId="74" applyFont="1" applyAlignment="1">
      <alignment vertical="center"/>
    </xf>
    <xf numFmtId="170" fontId="0" fillId="0" borderId="8" xfId="12" applyNumberFormat="1" applyFont="1" applyFill="1" applyBorder="1"/>
    <xf numFmtId="0" fontId="30" fillId="0" borderId="1" xfId="74" applyFont="1" applyBorder="1" applyAlignment="1">
      <alignment horizontal="center" vertical="center" wrapText="1"/>
    </xf>
    <xf numFmtId="2" fontId="32" fillId="0" borderId="1" xfId="74" applyNumberFormat="1" applyFont="1" applyBorder="1" applyAlignment="1">
      <alignment horizontal="center" vertical="center" wrapText="1"/>
    </xf>
    <xf numFmtId="0" fontId="32" fillId="0" borderId="10" xfId="74" applyFont="1" applyBorder="1" applyAlignment="1">
      <alignment horizontal="center" vertical="center"/>
    </xf>
    <xf numFmtId="0" fontId="32" fillId="0" borderId="2" xfId="74" applyFont="1" applyBorder="1" applyAlignment="1">
      <alignment horizontal="center" vertical="center" wrapText="1"/>
    </xf>
    <xf numFmtId="0" fontId="32" fillId="0" borderId="3" xfId="74" applyFont="1" applyBorder="1" applyAlignment="1">
      <alignment horizontal="center" vertical="center" wrapText="1"/>
    </xf>
    <xf numFmtId="0" fontId="33" fillId="0" borderId="3" xfId="74" applyFont="1" applyBorder="1" applyAlignment="1">
      <alignment horizontal="center" vertical="center" wrapText="1"/>
    </xf>
    <xf numFmtId="0" fontId="32" fillId="0" borderId="4" xfId="74" applyFont="1" applyBorder="1" applyAlignment="1">
      <alignment horizontal="center" vertical="center" wrapText="1"/>
    </xf>
    <xf numFmtId="167" fontId="32" fillId="0" borderId="1" xfId="74" applyNumberFormat="1" applyFont="1" applyBorder="1" applyAlignment="1">
      <alignment horizontal="center" vertical="center"/>
    </xf>
    <xf numFmtId="4" fontId="32" fillId="0" borderId="1" xfId="74" applyNumberFormat="1" applyFont="1" applyBorder="1" applyAlignment="1">
      <alignment vertical="center"/>
    </xf>
    <xf numFmtId="0" fontId="28" fillId="0" borderId="8" xfId="74" applyFont="1" applyBorder="1" applyAlignment="1">
      <alignment vertical="center"/>
    </xf>
    <xf numFmtId="0" fontId="32" fillId="0" borderId="5" xfId="74" applyFont="1" applyBorder="1" applyAlignment="1">
      <alignment horizontal="center" vertical="center"/>
    </xf>
    <xf numFmtId="0" fontId="30" fillId="0" borderId="6" xfId="74" applyFont="1" applyBorder="1" applyAlignment="1">
      <alignment horizontal="center" vertical="center" wrapText="1"/>
    </xf>
    <xf numFmtId="2" fontId="32" fillId="0" borderId="6" xfId="74" applyNumberFormat="1" applyFont="1" applyBorder="1" applyAlignment="1">
      <alignment horizontal="center" vertical="center" wrapText="1"/>
    </xf>
    <xf numFmtId="167" fontId="32" fillId="0" borderId="6" xfId="74" applyNumberFormat="1" applyFont="1" applyBorder="1" applyAlignment="1">
      <alignment horizontal="center" vertical="center"/>
    </xf>
    <xf numFmtId="4" fontId="32" fillId="0" borderId="6" xfId="74" applyNumberFormat="1" applyFont="1" applyBorder="1" applyAlignment="1">
      <alignment vertical="center"/>
    </xf>
    <xf numFmtId="0" fontId="28" fillId="0" borderId="7" xfId="74" applyFont="1" applyBorder="1" applyAlignment="1">
      <alignment vertical="center"/>
    </xf>
    <xf numFmtId="0" fontId="26" fillId="0" borderId="9" xfId="0" applyFont="1" applyBorder="1" applyAlignment="1">
      <alignment horizontal="center"/>
    </xf>
    <xf numFmtId="0" fontId="39" fillId="0" borderId="0" xfId="74" applyFont="1" applyAlignment="1">
      <alignment vertical="center"/>
    </xf>
    <xf numFmtId="0" fontId="40" fillId="0" borderId="0" xfId="74" applyFont="1"/>
    <xf numFmtId="0" fontId="30" fillId="0" borderId="0" xfId="0" applyFont="1"/>
    <xf numFmtId="0" fontId="30" fillId="0" borderId="0" xfId="0" applyFont="1" applyAlignment="1">
      <alignment vertical="top"/>
    </xf>
    <xf numFmtId="0" fontId="30" fillId="0" borderId="1" xfId="0" applyFont="1" applyBorder="1" applyAlignment="1">
      <alignment horizontal="center" vertical="center" wrapText="1"/>
    </xf>
    <xf numFmtId="0" fontId="30" fillId="0" borderId="1" xfId="0" applyFont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169" fontId="43" fillId="2" borderId="1" xfId="0" applyNumberFormat="1" applyFont="1" applyFill="1" applyBorder="1" applyAlignment="1">
      <alignment horizontal="center"/>
    </xf>
    <xf numFmtId="2" fontId="30" fillId="0" borderId="1" xfId="0" applyNumberFormat="1" applyFont="1" applyBorder="1" applyAlignment="1">
      <alignment horizontal="center"/>
    </xf>
    <xf numFmtId="0" fontId="45" fillId="0" borderId="0" xfId="0" applyFont="1" applyAlignment="1">
      <alignment horizontal="center"/>
    </xf>
    <xf numFmtId="168" fontId="46" fillId="0" borderId="0" xfId="0" applyNumberFormat="1" applyFont="1" applyAlignment="1">
      <alignment horizontal="center"/>
    </xf>
    <xf numFmtId="2" fontId="43" fillId="2" borderId="1" xfId="0" applyNumberFormat="1" applyFont="1" applyFill="1" applyBorder="1" applyAlignment="1">
      <alignment horizontal="center"/>
    </xf>
    <xf numFmtId="49" fontId="30" fillId="2" borderId="1" xfId="0" applyNumberFormat="1" applyFont="1" applyFill="1" applyBorder="1" applyAlignment="1">
      <alignment horizontal="center" vertical="center"/>
    </xf>
    <xf numFmtId="166" fontId="30" fillId="2" borderId="1" xfId="12" applyFont="1" applyFill="1" applyBorder="1" applyAlignment="1">
      <alignment vertical="center"/>
    </xf>
    <xf numFmtId="49" fontId="30" fillId="2" borderId="6" xfId="0" applyNumberFormat="1" applyFont="1" applyFill="1" applyBorder="1" applyAlignment="1">
      <alignment horizontal="center" vertical="center"/>
    </xf>
    <xf numFmtId="166" fontId="30" fillId="2" borderId="6" xfId="12" applyFont="1" applyFill="1" applyBorder="1" applyAlignment="1">
      <alignment vertical="center"/>
    </xf>
    <xf numFmtId="0" fontId="43" fillId="0" borderId="9" xfId="0" applyFont="1" applyBorder="1" applyAlignment="1">
      <alignment horizontal="center"/>
    </xf>
    <xf numFmtId="14" fontId="30" fillId="0" borderId="0" xfId="0" applyNumberFormat="1" applyFont="1"/>
    <xf numFmtId="0" fontId="48" fillId="0" borderId="0" xfId="74" applyFont="1"/>
    <xf numFmtId="49" fontId="30" fillId="0" borderId="0" xfId="0" applyNumberFormat="1" applyFont="1"/>
    <xf numFmtId="0" fontId="0" fillId="0" borderId="0" xfId="0" applyAlignment="1">
      <alignment vertical="top"/>
    </xf>
    <xf numFmtId="0" fontId="0" fillId="0" borderId="1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2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/>
    </xf>
    <xf numFmtId="166" fontId="0" fillId="2" borderId="1" xfId="12" applyFont="1" applyFill="1" applyBorder="1"/>
    <xf numFmtId="167" fontId="0" fillId="0" borderId="1" xfId="0" applyNumberFormat="1" applyBorder="1" applyAlignment="1">
      <alignment horizontal="center"/>
    </xf>
    <xf numFmtId="170" fontId="0" fillId="0" borderId="1" xfId="12" applyNumberFormat="1" applyFont="1" applyFill="1" applyBorder="1"/>
    <xf numFmtId="0" fontId="49" fillId="0" borderId="1" xfId="0" applyFont="1" applyBorder="1"/>
    <xf numFmtId="0" fontId="50" fillId="0" borderId="0" xfId="0" applyFont="1"/>
    <xf numFmtId="0" fontId="14" fillId="0" borderId="0" xfId="67" applyFill="1" applyAlignment="1">
      <alignment horizontal="right"/>
    </xf>
    <xf numFmtId="0" fontId="14" fillId="0" borderId="0" xfId="67" applyFill="1" applyAlignment="1">
      <alignment horizontal="left"/>
    </xf>
    <xf numFmtId="4" fontId="32" fillId="2" borderId="1" xfId="12" applyNumberFormat="1" applyFont="1" applyFill="1" applyBorder="1" applyAlignment="1">
      <alignment vertical="center"/>
    </xf>
    <xf numFmtId="0" fontId="32" fillId="0" borderId="1" xfId="74" applyFont="1" applyBorder="1" applyAlignment="1">
      <alignment horizontal="center" vertical="center"/>
    </xf>
    <xf numFmtId="14" fontId="30" fillId="0" borderId="1" xfId="0" applyNumberFormat="1" applyFont="1" applyBorder="1" applyAlignment="1">
      <alignment horizontal="center" vertical="center"/>
    </xf>
    <xf numFmtId="49" fontId="0" fillId="2" borderId="1" xfId="0" applyNumberFormat="1" applyFill="1" applyBorder="1" applyAlignment="1">
      <alignment horizontal="center"/>
    </xf>
    <xf numFmtId="0" fontId="26" fillId="0" borderId="8" xfId="0" applyFont="1" applyBorder="1" applyAlignment="1">
      <alignment horizontal="center" vertical="center"/>
    </xf>
    <xf numFmtId="166" fontId="26" fillId="0" borderId="9" xfId="0" applyNumberFormat="1" applyFont="1" applyBorder="1" applyAlignment="1">
      <alignment vertical="center"/>
    </xf>
    <xf numFmtId="0" fontId="43" fillId="0" borderId="9" xfId="0" applyFont="1" applyBorder="1"/>
    <xf numFmtId="0" fontId="43" fillId="0" borderId="9" xfId="0" applyFont="1" applyBorder="1" applyAlignment="1">
      <alignment horizontal="center" vertical="center" wrapText="1"/>
    </xf>
    <xf numFmtId="0" fontId="26" fillId="0" borderId="9" xfId="0" applyFont="1" applyBorder="1" applyAlignment="1">
      <alignment horizontal="center" vertical="center" wrapText="1"/>
    </xf>
    <xf numFmtId="4" fontId="26" fillId="0" borderId="9" xfId="0" applyNumberFormat="1" applyFont="1" applyBorder="1" applyAlignment="1">
      <alignment vertical="center"/>
    </xf>
    <xf numFmtId="0" fontId="51" fillId="0" borderId="10" xfId="0" applyFont="1" applyBorder="1" applyAlignment="1">
      <alignment vertical="center"/>
    </xf>
    <xf numFmtId="0" fontId="26" fillId="0" borderId="9" xfId="0" applyFont="1" applyBorder="1" applyAlignment="1">
      <alignment horizontal="right" vertical="center"/>
    </xf>
    <xf numFmtId="14" fontId="30" fillId="2" borderId="1" xfId="0" applyNumberFormat="1" applyFont="1" applyFill="1" applyBorder="1" applyAlignment="1">
      <alignment horizontal="center" vertical="center"/>
    </xf>
    <xf numFmtId="14" fontId="30" fillId="2" borderId="6" xfId="0" applyNumberFormat="1" applyFont="1" applyFill="1" applyBorder="1" applyAlignment="1">
      <alignment horizontal="center" vertical="center"/>
    </xf>
    <xf numFmtId="14" fontId="47" fillId="0" borderId="1" xfId="0" applyNumberFormat="1" applyFont="1" applyBorder="1" applyAlignment="1">
      <alignment horizontal="center" vertical="center"/>
    </xf>
    <xf numFmtId="0" fontId="30" fillId="0" borderId="6" xfId="0" applyFont="1" applyBorder="1" applyAlignment="1">
      <alignment horizontal="center" vertical="center"/>
    </xf>
    <xf numFmtId="14" fontId="47" fillId="0" borderId="6" xfId="0" applyNumberFormat="1" applyFont="1" applyBorder="1" applyAlignment="1">
      <alignment horizontal="center" vertical="center"/>
    </xf>
    <xf numFmtId="0" fontId="16" fillId="0" borderId="0" xfId="0" applyFont="1"/>
    <xf numFmtId="0" fontId="52" fillId="0" borderId="0" xfId="0" applyFont="1" applyAlignment="1">
      <alignment horizontal="center" vertical="top"/>
    </xf>
    <xf numFmtId="0" fontId="11" fillId="0" borderId="0" xfId="0" applyFont="1"/>
    <xf numFmtId="0" fontId="11" fillId="0" borderId="1" xfId="0" applyFont="1" applyBorder="1"/>
    <xf numFmtId="0" fontId="11" fillId="0" borderId="1" xfId="0" applyFont="1" applyBorder="1" applyAlignment="1">
      <alignment horizontal="left"/>
    </xf>
    <xf numFmtId="0" fontId="53" fillId="0" borderId="0" xfId="0" applyFont="1"/>
    <xf numFmtId="0" fontId="11" fillId="0" borderId="1" xfId="0" applyFont="1" applyBorder="1" applyAlignment="1">
      <alignment wrapText="1"/>
    </xf>
    <xf numFmtId="2" fontId="11" fillId="0" borderId="1" xfId="0" applyNumberFormat="1" applyFont="1" applyBorder="1" applyAlignment="1">
      <alignment horizontal="left"/>
    </xf>
    <xf numFmtId="0" fontId="54" fillId="0" borderId="2" xfId="0" applyFont="1" applyBorder="1" applyAlignment="1">
      <alignment horizontal="center" vertical="center"/>
    </xf>
    <xf numFmtId="49" fontId="54" fillId="0" borderId="3" xfId="0" applyNumberFormat="1" applyFont="1" applyBorder="1" applyAlignment="1">
      <alignment horizontal="center" vertical="center" wrapText="1"/>
    </xf>
    <xf numFmtId="0" fontId="54" fillId="0" borderId="3" xfId="0" applyFont="1" applyBorder="1" applyAlignment="1">
      <alignment horizontal="center" vertical="center" wrapText="1"/>
    </xf>
    <xf numFmtId="0" fontId="54" fillId="0" borderId="4" xfId="0" applyFont="1" applyBorder="1" applyAlignment="1">
      <alignment horizontal="center" vertical="center" wrapText="1"/>
    </xf>
    <xf numFmtId="0" fontId="11" fillId="2" borderId="5" xfId="0" applyFont="1" applyFill="1" applyBorder="1"/>
    <xf numFmtId="49" fontId="11" fillId="2" borderId="6" xfId="0" applyNumberFormat="1" applyFont="1" applyFill="1" applyBorder="1" applyAlignment="1">
      <alignment horizontal="center"/>
    </xf>
    <xf numFmtId="0" fontId="55" fillId="0" borderId="6" xfId="0" applyFont="1" applyBorder="1" applyAlignment="1">
      <alignment horizontal="center" wrapText="1"/>
    </xf>
    <xf numFmtId="2" fontId="11" fillId="0" borderId="6" xfId="0" applyNumberFormat="1" applyFont="1" applyBorder="1" applyAlignment="1">
      <alignment horizontal="center"/>
    </xf>
    <xf numFmtId="166" fontId="11" fillId="0" borderId="6" xfId="12" applyFont="1" applyBorder="1"/>
    <xf numFmtId="2" fontId="11" fillId="0" borderId="7" xfId="12" applyNumberFormat="1" applyFont="1" applyBorder="1" applyAlignment="1">
      <alignment horizontal="right"/>
    </xf>
    <xf numFmtId="166" fontId="54" fillId="0" borderId="7" xfId="12" applyFont="1" applyBorder="1"/>
    <xf numFmtId="0" fontId="55" fillId="0" borderId="6" xfId="0" applyFont="1" applyBorder="1" applyAlignment="1">
      <alignment horizontal="center"/>
    </xf>
    <xf numFmtId="0" fontId="43" fillId="0" borderId="1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166" fontId="0" fillId="2" borderId="1" xfId="12" applyFont="1" applyFill="1" applyBorder="1" applyAlignment="1">
      <alignment horizontal="center"/>
    </xf>
    <xf numFmtId="0" fontId="0" fillId="0" borderId="14" xfId="0" applyBorder="1" applyAlignment="1">
      <alignment horizontal="center" wrapText="1"/>
    </xf>
    <xf numFmtId="0" fontId="0" fillId="0" borderId="0" xfId="0" applyAlignment="1">
      <alignment horizontal="center"/>
    </xf>
    <xf numFmtId="0" fontId="19" fillId="0" borderId="0" xfId="0" applyFont="1" applyAlignment="1">
      <alignment horizontal="center" vertical="top"/>
    </xf>
    <xf numFmtId="0" fontId="7" fillId="2" borderId="0" xfId="0" applyFont="1" applyFill="1" applyAlignment="1">
      <alignment horizontal="left" vertical="top"/>
    </xf>
    <xf numFmtId="0" fontId="7" fillId="0" borderId="0" xfId="0" applyFont="1" applyAlignment="1">
      <alignment horizontal="left" vertical="top"/>
    </xf>
    <xf numFmtId="0" fontId="7" fillId="0" borderId="0" xfId="0" applyFont="1" applyAlignment="1">
      <alignment horizontal="left" vertical="top" wrapText="1"/>
    </xf>
    <xf numFmtId="0" fontId="29" fillId="0" borderId="0" xfId="0" applyFont="1" applyAlignment="1">
      <alignment horizontal="center" vertical="top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vertical="center" wrapText="1"/>
    </xf>
    <xf numFmtId="0" fontId="23" fillId="0" borderId="8" xfId="0" applyFont="1" applyBorder="1" applyAlignment="1">
      <alignment horizontal="center" wrapText="1"/>
    </xf>
    <xf numFmtId="0" fontId="23" fillId="0" borderId="9" xfId="0" applyFont="1" applyBorder="1" applyAlignment="1">
      <alignment horizontal="center" wrapText="1"/>
    </xf>
    <xf numFmtId="0" fontId="23" fillId="0" borderId="10" xfId="0" applyFont="1" applyBorder="1" applyAlignment="1">
      <alignment horizontal="center" wrapText="1"/>
    </xf>
    <xf numFmtId="0" fontId="0" fillId="0" borderId="6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30" fillId="0" borderId="0" xfId="0" applyFont="1" applyAlignment="1">
      <alignment horizontal="center"/>
    </xf>
    <xf numFmtId="0" fontId="30" fillId="0" borderId="6" xfId="0" applyFont="1" applyBorder="1" applyAlignment="1">
      <alignment horizontal="center" vertical="center" wrapText="1"/>
    </xf>
    <xf numFmtId="0" fontId="30" fillId="0" borderId="3" xfId="0" applyFont="1" applyBorder="1" applyAlignment="1">
      <alignment horizontal="center" vertical="center" wrapText="1"/>
    </xf>
    <xf numFmtId="0" fontId="30" fillId="0" borderId="1" xfId="0" applyFont="1" applyBorder="1" applyAlignment="1">
      <alignment horizontal="center"/>
    </xf>
    <xf numFmtId="0" fontId="30" fillId="0" borderId="1" xfId="0" applyFont="1" applyBorder="1" applyAlignment="1">
      <alignment horizontal="center" vertical="center" wrapText="1"/>
    </xf>
    <xf numFmtId="0" fontId="39" fillId="0" borderId="6" xfId="0" applyFont="1" applyBorder="1" applyAlignment="1">
      <alignment horizontal="center" vertical="center" wrapText="1"/>
    </xf>
    <xf numFmtId="0" fontId="39" fillId="0" borderId="3" xfId="0" applyFont="1" applyBorder="1" applyAlignment="1">
      <alignment horizontal="center" vertical="center" wrapText="1"/>
    </xf>
    <xf numFmtId="0" fontId="39" fillId="0" borderId="8" xfId="0" applyFont="1" applyBorder="1" applyAlignment="1">
      <alignment horizontal="center" wrapText="1"/>
    </xf>
    <xf numFmtId="0" fontId="39" fillId="0" borderId="9" xfId="0" applyFont="1" applyBorder="1" applyAlignment="1">
      <alignment horizontal="center" wrapText="1"/>
    </xf>
    <xf numFmtId="0" fontId="39" fillId="0" borderId="10" xfId="0" applyFont="1" applyBorder="1" applyAlignment="1">
      <alignment horizontal="center" wrapText="1"/>
    </xf>
    <xf numFmtId="0" fontId="30" fillId="0" borderId="8" xfId="0" applyFont="1" applyBorder="1" applyAlignment="1">
      <alignment horizontal="center"/>
    </xf>
    <xf numFmtId="0" fontId="30" fillId="0" borderId="9" xfId="0" applyFont="1" applyBorder="1" applyAlignment="1">
      <alignment horizontal="center"/>
    </xf>
    <xf numFmtId="0" fontId="30" fillId="0" borderId="10" xfId="0" applyFont="1" applyBorder="1" applyAlignment="1">
      <alignment horizontal="center"/>
    </xf>
    <xf numFmtId="0" fontId="41" fillId="0" borderId="0" xfId="0" applyFont="1" applyAlignment="1">
      <alignment horizontal="center" vertical="top"/>
    </xf>
    <xf numFmtId="0" fontId="42" fillId="0" borderId="0" xfId="0" applyFont="1" applyAlignment="1">
      <alignment horizontal="center" vertical="top"/>
    </xf>
    <xf numFmtId="0" fontId="43" fillId="2" borderId="0" xfId="0" applyFont="1" applyFill="1" applyAlignment="1">
      <alignment horizontal="left" vertical="top"/>
    </xf>
    <xf numFmtId="0" fontId="43" fillId="0" borderId="0" xfId="0" applyFont="1" applyAlignment="1">
      <alignment horizontal="left" vertical="top"/>
    </xf>
    <xf numFmtId="0" fontId="56" fillId="0" borderId="0" xfId="0" applyFont="1" applyAlignment="1">
      <alignment horizontal="center" vertical="top"/>
    </xf>
    <xf numFmtId="2" fontId="8" fillId="0" borderId="14" xfId="0" applyNumberFormat="1" applyFont="1" applyBorder="1" applyAlignment="1">
      <alignment horizontal="center"/>
    </xf>
  </cellXfs>
  <cellStyles count="75">
    <cellStyle name="Comma" xfId="12" builtinId="3"/>
    <cellStyle name="Comma 10" xfId="17" xr:uid="{00000000-0005-0000-0000-000001000000}"/>
    <cellStyle name="Comma 11" xfId="49" xr:uid="{00000000-0005-0000-0000-000002000000}"/>
    <cellStyle name="Comma 2" xfId="2" xr:uid="{00000000-0005-0000-0000-000003000000}"/>
    <cellStyle name="Comma 2 2" xfId="3" xr:uid="{00000000-0005-0000-0000-000004000000}"/>
    <cellStyle name="Comma 2 29" xfId="43" xr:uid="{00000000-0005-0000-0000-000005000000}"/>
    <cellStyle name="Comma 2 3" xfId="65" xr:uid="{00000000-0005-0000-0000-000006000000}"/>
    <cellStyle name="Comma 20" xfId="47" xr:uid="{00000000-0005-0000-0000-000007000000}"/>
    <cellStyle name="Comma 21 2 2" xfId="31" xr:uid="{00000000-0005-0000-0000-000008000000}"/>
    <cellStyle name="Comma 22 4" xfId="27" xr:uid="{00000000-0005-0000-0000-000009000000}"/>
    <cellStyle name="Comma 27" xfId="60" xr:uid="{00000000-0005-0000-0000-00000A000000}"/>
    <cellStyle name="Comma 29" xfId="57" xr:uid="{00000000-0005-0000-0000-00000B000000}"/>
    <cellStyle name="Comma 30" xfId="56" xr:uid="{00000000-0005-0000-0000-00000C000000}"/>
    <cellStyle name="Currency 2" xfId="4" xr:uid="{00000000-0005-0000-0000-00000D000000}"/>
    <cellStyle name="Currency 3" xfId="69" xr:uid="{00000000-0005-0000-0000-00000E000000}"/>
    <cellStyle name="Hyperlink" xfId="67" builtinId="8"/>
    <cellStyle name="Hyperlink 2" xfId="71" xr:uid="{00000000-0005-0000-0000-000010000000}"/>
    <cellStyle name="Normal" xfId="0" builtinId="0"/>
    <cellStyle name="Normal 10" xfId="15" xr:uid="{00000000-0005-0000-0000-000012000000}"/>
    <cellStyle name="Normal 10 3 2" xfId="25" xr:uid="{00000000-0005-0000-0000-000013000000}"/>
    <cellStyle name="Normal 10 5" xfId="19" xr:uid="{00000000-0005-0000-0000-000014000000}"/>
    <cellStyle name="Normal 11" xfId="5" xr:uid="{00000000-0005-0000-0000-000015000000}"/>
    <cellStyle name="Normal 2" xfId="6" xr:uid="{00000000-0005-0000-0000-000016000000}"/>
    <cellStyle name="Normal 2 10" xfId="16" xr:uid="{00000000-0005-0000-0000-000017000000}"/>
    <cellStyle name="Normal 2 14" xfId="62" xr:uid="{00000000-0005-0000-0000-000018000000}"/>
    <cellStyle name="Normal 2 19" xfId="35" xr:uid="{00000000-0005-0000-0000-000019000000}"/>
    <cellStyle name="Normal 2 2 2 4" xfId="24" xr:uid="{00000000-0005-0000-0000-00001A000000}"/>
    <cellStyle name="Normal 2 3" xfId="30" xr:uid="{00000000-0005-0000-0000-00001B000000}"/>
    <cellStyle name="Normal 2 4" xfId="7" xr:uid="{00000000-0005-0000-0000-00001C000000}"/>
    <cellStyle name="Normal 2 4 2" xfId="37" xr:uid="{00000000-0005-0000-0000-00001D000000}"/>
    <cellStyle name="Normal 2 5" xfId="66" xr:uid="{00000000-0005-0000-0000-00001E000000}"/>
    <cellStyle name="Normal 2 5 2" xfId="70" xr:uid="{00000000-0005-0000-0000-00001F000000}"/>
    <cellStyle name="Normal 20" xfId="45" xr:uid="{00000000-0005-0000-0000-000020000000}"/>
    <cellStyle name="Normal 21" xfId="46" xr:uid="{00000000-0005-0000-0000-000021000000}"/>
    <cellStyle name="Normal 22" xfId="48" xr:uid="{00000000-0005-0000-0000-000022000000}"/>
    <cellStyle name="Normal 23" xfId="50" xr:uid="{00000000-0005-0000-0000-000023000000}"/>
    <cellStyle name="Normal 24" xfId="51" xr:uid="{00000000-0005-0000-0000-000024000000}"/>
    <cellStyle name="Normal 25" xfId="53" xr:uid="{00000000-0005-0000-0000-000025000000}"/>
    <cellStyle name="Normal 26" xfId="52" xr:uid="{00000000-0005-0000-0000-000026000000}"/>
    <cellStyle name="Normal 28" xfId="59" xr:uid="{00000000-0005-0000-0000-000027000000}"/>
    <cellStyle name="Normal 29 3 2" xfId="44" xr:uid="{00000000-0005-0000-0000-000028000000}"/>
    <cellStyle name="Normal 3" xfId="1" xr:uid="{00000000-0005-0000-0000-000029000000}"/>
    <cellStyle name="Normal 3 16 2" xfId="36" xr:uid="{00000000-0005-0000-0000-00002A000000}"/>
    <cellStyle name="Normal 3 2" xfId="13" xr:uid="{00000000-0005-0000-0000-00002B000000}"/>
    <cellStyle name="Normal 3 2 3" xfId="14" xr:uid="{00000000-0005-0000-0000-00002C000000}"/>
    <cellStyle name="Normal 3 3" xfId="72" xr:uid="{00000000-0005-0000-0000-00002D000000}"/>
    <cellStyle name="Normal 3 6" xfId="20" xr:uid="{00000000-0005-0000-0000-00002E000000}"/>
    <cellStyle name="Normal 30" xfId="8" xr:uid="{00000000-0005-0000-0000-00002F000000}"/>
    <cellStyle name="Normal 31" xfId="55" xr:uid="{00000000-0005-0000-0000-000030000000}"/>
    <cellStyle name="Normal 32 2" xfId="18" xr:uid="{00000000-0005-0000-0000-000031000000}"/>
    <cellStyle name="Normal 33" xfId="9" xr:uid="{00000000-0005-0000-0000-000032000000}"/>
    <cellStyle name="Normal 4" xfId="11" xr:uid="{00000000-0005-0000-0000-000033000000}"/>
    <cellStyle name="Normal 4 10" xfId="28" xr:uid="{00000000-0005-0000-0000-000034000000}"/>
    <cellStyle name="Normal 4 28" xfId="33" xr:uid="{00000000-0005-0000-0000-000035000000}"/>
    <cellStyle name="Normal 5" xfId="68" xr:uid="{00000000-0005-0000-0000-000036000000}"/>
    <cellStyle name="Normal 5 16" xfId="34" xr:uid="{00000000-0005-0000-0000-000037000000}"/>
    <cellStyle name="Normal 53" xfId="73" xr:uid="{00000000-0005-0000-0000-000038000000}"/>
    <cellStyle name="Normal 54" xfId="58" xr:uid="{00000000-0005-0000-0000-000039000000}"/>
    <cellStyle name="Normal 54 4" xfId="23" xr:uid="{00000000-0005-0000-0000-00003A000000}"/>
    <cellStyle name="Normal 55 2" xfId="29" xr:uid="{00000000-0005-0000-0000-00003B000000}"/>
    <cellStyle name="Normal 57 2" xfId="26" xr:uid="{00000000-0005-0000-0000-00003C000000}"/>
    <cellStyle name="Normal 59" xfId="22" xr:uid="{00000000-0005-0000-0000-00003D000000}"/>
    <cellStyle name="Normal 6" xfId="39" xr:uid="{00000000-0005-0000-0000-00003E000000}"/>
    <cellStyle name="Normal 6 2" xfId="54" xr:uid="{00000000-0005-0000-0000-00003F000000}"/>
    <cellStyle name="Normal 68" xfId="21" xr:uid="{00000000-0005-0000-0000-000040000000}"/>
    <cellStyle name="Normal 69" xfId="32" xr:uid="{00000000-0005-0000-0000-000041000000}"/>
    <cellStyle name="Normal 69 2" xfId="63" xr:uid="{00000000-0005-0000-0000-000042000000}"/>
    <cellStyle name="Normal 7" xfId="74" xr:uid="{1F5CBB3A-EB9A-4B8C-8EA3-055B8DF4E643}"/>
    <cellStyle name="Normal 7 10" xfId="38" xr:uid="{00000000-0005-0000-0000-000043000000}"/>
    <cellStyle name="Normal 70" xfId="41" xr:uid="{00000000-0005-0000-0000-000044000000}"/>
    <cellStyle name="Normal 70 2" xfId="64" xr:uid="{00000000-0005-0000-0000-000045000000}"/>
    <cellStyle name="Normal 71" xfId="40" xr:uid="{00000000-0005-0000-0000-000046000000}"/>
    <cellStyle name="Normal 71 2" xfId="61" xr:uid="{00000000-0005-0000-0000-000047000000}"/>
    <cellStyle name="Percent 2" xfId="10" xr:uid="{00000000-0005-0000-0000-000048000000}"/>
    <cellStyle name="Percent 3 4" xfId="42" xr:uid="{00000000-0005-0000-0000-000049000000}"/>
  </cellStyles>
  <dxfs count="117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 * #,##0.00_ ;_ * \-#,##0.00_ ;_ * &quot;-&quot;??_ ;_ @_ "/>
      <border diagonalUp="0" diagonalDown="0" outline="0">
        <left/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 * #,##0.00_ ;_ * \-#,##0.00_ ;_ * &quot;-&quot;??_ ;_ @_ 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 * #,##0.00_ ;_ * \-#,##0.00_ ;_ * &quot;-&quot;??_ ;_ @_ 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 * #,##0.00_ ;_ * \-#,##0.00_ ;_ * &quot;-&quot;??_ ;_ @_ 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 * #,##0.00_ ;_ * \-#,##0.00_ ;_ * &quot;-&quot;??_ ;_ @_ 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 * #,##0.00_ ;_ * \-#,##0.00_ ;_ * &quot;-&quot;??_ ;_ @_ 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 * #,##0.00_ ;_ * \-#,##0.00_ ;_ * &quot;-&quot;??_ ;_ @_ 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 * #,##0.00_ ;_ * \-#,##0.00_ ;_ * &quot;-&quot;??_ ;_ @_ 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 * #,##0.00_ ;_ * \-#,##0.00_ ;_ * &quot;-&quot;??_ ;_ @_ 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 * #,##0.00_ ;_ * \-#,##0.00_ ;_ * &quot;-&quot;??_ ;_ @_ 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ont>
        <color rgb="FF00B050"/>
      </font>
    </dxf>
    <dxf>
      <fill>
        <patternFill patternType="solid">
          <bgColor rgb="FFFFA3A3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ont>
        <b/>
        <strike val="0"/>
        <outline val="0"/>
        <shadow val="0"/>
        <vertAlign val="baseline"/>
        <sz val="12"/>
        <name val="Calibri"/>
        <family val="2"/>
        <scheme val="minor"/>
      </font>
      <numFmt numFmtId="166" formatCode="_ * #,##0.00_ ;_ * \-#,##0.00_ ;_ * &quot;-&quot;??_ ;_ @_ 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2" formatCode="0.00"/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numFmt numFmtId="2" formatCode="0.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numFmt numFmtId="30" formatCode="@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fill>
        <patternFill patternType="solid">
          <fgColor indexed="64"/>
          <bgColor rgb="FFFFFF0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2"/>
        <name val="Calibri"/>
        <family val="2"/>
        <scheme val="minor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8"/>
        <color rgb="FF000000"/>
        <name val="Calibr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8"/>
        <color rgb="FF000000"/>
        <name val="Calibr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4" formatCode="#,##0.00"/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4" formatCode="#,##0.0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right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167" formatCode="0.0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" formatCode="0.0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" formatCode="0.0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" formatCode="0.0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" formatCode="0.0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" formatCode="0.0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" formatCode="0.0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name val="Calibri"/>
        <family val="2"/>
        <scheme val="none"/>
      </font>
      <numFmt numFmtId="19" formatCode="yyyy/mm/dd"/>
      <fill>
        <patternFill patternType="solid">
          <fgColor indexed="64"/>
          <bgColor rgb="FFFFFF00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name val="Calibri"/>
        <family val="2"/>
        <scheme val="none"/>
      </font>
      <numFmt numFmtId="19" formatCode="yyyy/mm/dd"/>
      <fill>
        <patternFill patternType="solid">
          <fgColor indexed="64"/>
          <bgColor rgb="FFFFFF00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9" formatCode="yyyy/mm/dd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166" formatCode="_ * #,##0.00_ ;_ * \-#,##0.00_ ;_ * &quot;-&quot;??_ ;_ @_ "/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4" formatCode="#,##0.00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name val="Calibri"/>
        <family val="2"/>
        <scheme val="none"/>
      </font>
      <numFmt numFmtId="30" formatCode="@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font>
        <b/>
        <strike val="0"/>
        <outline val="0"/>
        <shadow val="0"/>
        <name val="Calibri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name val="Calibri"/>
        <family val="2"/>
        <scheme val="none"/>
      </font>
      <alignment vertical="center" textRotation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/>
        <strike val="0"/>
        <outline val="0"/>
        <shadow val="0"/>
        <u val="none"/>
        <vertAlign val="baseline"/>
        <sz val="8"/>
        <color rgb="FF00000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name val="Calibri"/>
        <family val="2"/>
        <scheme val="minor"/>
      </font>
      <numFmt numFmtId="170" formatCode="_ * #,##0.00_ ;_ * \(#,##0.00\)_ ;_ * &quot;-&quot;??_ ;_ @_ 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sz val="11"/>
        <color theme="1"/>
        <name val="Calibri"/>
        <family val="2"/>
        <scheme val="minor"/>
      </font>
      <numFmt numFmtId="167" formatCode="0.0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9" formatCode="yyyy/mm/dd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name val="Calibri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sz val="11"/>
        <color theme="1"/>
        <name val="Calibri"/>
        <family val="2"/>
        <scheme val="minor"/>
      </font>
      <numFmt numFmtId="30" formatCode="@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border outline="0">
        <top style="double">
          <color rgb="FF000000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66" formatCode="_ * #,##0.00_ ;_ * \-#,##0.00_ ;_ * &quot;-&quot;??_ ;_ @_ "/>
      <fill>
        <patternFill patternType="none">
          <fgColor indexed="64"/>
          <bgColor auto="1"/>
        </patternFill>
      </fill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strike val="0"/>
        <outline val="0"/>
        <shadow val="0"/>
        <u val="none"/>
        <sz val="11"/>
        <color rgb="FF000000"/>
        <name val="Calibri"/>
        <family val="2"/>
        <scheme val="minor"/>
      </font>
      <numFmt numFmtId="166" formatCode="_ * #,##0.00_ ;_ * \-#,##0.00_ ;_ * &quot;-&quot;??_ ;_ @_ "/>
      <fill>
        <patternFill patternType="none">
          <fgColor indexed="64"/>
          <bgColor auto="1"/>
        </patternFill>
      </fill>
    </dxf>
    <dxf>
      <border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</dxf>
  </dxfs>
  <tableStyles count="0" defaultTableStyle="TableStyleMedium2" defaultPivotStyle="PivotStyleLight16"/>
  <colors>
    <mruColors>
      <color rgb="FFFFA3A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704850</xdr:colOff>
      <xdr:row>14</xdr:row>
      <xdr:rowOff>0</xdr:rowOff>
    </xdr:from>
    <xdr:ext cx="3412071" cy="753393"/>
    <xdr:sp macro="" textlink="">
      <xdr:nvSpPr>
        <xdr:cNvPr id="3" name="Rectangle: Diagonal Corners Rounded 2">
          <a:extLst>
            <a:ext uri="{FF2B5EF4-FFF2-40B4-BE49-F238E27FC236}">
              <a16:creationId xmlns:a16="http://schemas.microsoft.com/office/drawing/2014/main" id="{B032D8B2-892A-4174-B9C5-BDE629A5D207}"/>
            </a:ext>
          </a:extLst>
        </xdr:cNvPr>
        <xdr:cNvSpPr/>
      </xdr:nvSpPr>
      <xdr:spPr>
        <a:xfrm>
          <a:off x="6307791" y="2846294"/>
          <a:ext cx="3412071" cy="753393"/>
        </a:xfrm>
        <a:prstGeom prst="round2DiagRect">
          <a:avLst>
            <a:gd name="adj1" fmla="val 16667"/>
            <a:gd name="adj2" fmla="val 0"/>
          </a:avLst>
        </a:prstGeom>
        <a:solidFill>
          <a:srgbClr val="FFFF00"/>
        </a:solidFill>
        <a:ln w="28575">
          <a:solidFill>
            <a:schemeClr val="accent1"/>
          </a:solidFill>
          <a:prstDash val="solid"/>
          <a:extLst>
            <a:ext uri="{C807C97D-BFC1-408E-A445-0C87EB9F89A2}">
              <ask:lineSketchStyleProps xmlns:ask="http://schemas.microsoft.com/office/drawing/2018/sketchyshapes" sd="2997462627">
                <a:custGeom>
                  <a:avLst/>
                  <a:gdLst>
                    <a:gd name="connsiteX0" fmla="*/ 0 w 3392724"/>
                    <a:gd name="connsiteY0" fmla="*/ 0 h 718530"/>
                    <a:gd name="connsiteX1" fmla="*/ 3392724 w 3392724"/>
                    <a:gd name="connsiteY1" fmla="*/ 0 h 718530"/>
                    <a:gd name="connsiteX2" fmla="*/ 3392724 w 3392724"/>
                    <a:gd name="connsiteY2" fmla="*/ 718530 h 718530"/>
                    <a:gd name="connsiteX3" fmla="*/ 0 w 3392724"/>
                    <a:gd name="connsiteY3" fmla="*/ 718530 h 718530"/>
                    <a:gd name="connsiteX4" fmla="*/ 0 w 3392724"/>
                    <a:gd name="connsiteY4" fmla="*/ 0 h 718530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</a:cxnLst>
                  <a:rect l="l" t="t" r="r" b="b"/>
                  <a:pathLst>
                    <a:path w="3392724" h="718530" fill="none" extrusionOk="0">
                      <a:moveTo>
                        <a:pt x="0" y="0"/>
                      </a:moveTo>
                      <a:cubicBezTo>
                        <a:pt x="1027638" y="-139906"/>
                        <a:pt x="1886075" y="94422"/>
                        <a:pt x="3392724" y="0"/>
                      </a:cubicBezTo>
                      <a:cubicBezTo>
                        <a:pt x="3354882" y="162894"/>
                        <a:pt x="3440364" y="436689"/>
                        <a:pt x="3392724" y="718530"/>
                      </a:cubicBezTo>
                      <a:cubicBezTo>
                        <a:pt x="1970128" y="784435"/>
                        <a:pt x="1520877" y="864967"/>
                        <a:pt x="0" y="718530"/>
                      </a:cubicBezTo>
                      <a:cubicBezTo>
                        <a:pt x="-48340" y="430141"/>
                        <a:pt x="-33985" y="208952"/>
                        <a:pt x="0" y="0"/>
                      </a:cubicBezTo>
                      <a:close/>
                    </a:path>
                    <a:path w="3392724" h="718530" stroke="0" extrusionOk="0">
                      <a:moveTo>
                        <a:pt x="0" y="0"/>
                      </a:moveTo>
                      <a:cubicBezTo>
                        <a:pt x="900590" y="1335"/>
                        <a:pt x="2731571" y="132547"/>
                        <a:pt x="3392724" y="0"/>
                      </a:cubicBezTo>
                      <a:cubicBezTo>
                        <a:pt x="3377234" y="142250"/>
                        <a:pt x="3346814" y="498408"/>
                        <a:pt x="3392724" y="718530"/>
                      </a:cubicBezTo>
                      <a:cubicBezTo>
                        <a:pt x="3045618" y="682904"/>
                        <a:pt x="1273848" y="648143"/>
                        <a:pt x="0" y="718530"/>
                      </a:cubicBezTo>
                      <a:cubicBezTo>
                        <a:pt x="1927" y="547910"/>
                        <a:pt x="1991" y="251751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  <a:effectLst>
          <a:softEdge rad="0"/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wrap="none" lIns="91440" tIns="45720" rIns="91440" bIns="45720">
          <a:noAutofit/>
        </a:bodyPr>
        <a:lstStyle/>
        <a:p>
          <a:pPr algn="l"/>
          <a:r>
            <a:rPr lang="en-US" sz="2000" b="0" cap="none" spc="0">
              <a:ln w="10160">
                <a:solidFill>
                  <a:schemeClr val="accent1"/>
                </a:solidFill>
                <a:prstDash val="solid"/>
              </a:ln>
              <a:solidFill>
                <a:schemeClr val="accent1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- Input data in highlighted cells</a:t>
          </a:r>
        </a:p>
        <a:p>
          <a:pPr algn="l"/>
          <a:r>
            <a:rPr lang="en-US" sz="2000" b="0" cap="none" spc="0">
              <a:ln w="10160">
                <a:solidFill>
                  <a:schemeClr val="accent1"/>
                </a:solidFill>
                <a:prstDash val="solid"/>
              </a:ln>
              <a:solidFill>
                <a:schemeClr val="accent1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- Dates in BS</a:t>
          </a:r>
        </a:p>
      </xdr:txBody>
    </xdr:sp>
    <xdr:clientData fPrintsWithSheet="0"/>
  </xdr:oneCellAnchor>
  <xdr:oneCellAnchor>
    <xdr:from>
      <xdr:col>0</xdr:col>
      <xdr:colOff>0</xdr:colOff>
      <xdr:row>24</xdr:row>
      <xdr:rowOff>35521</xdr:rowOff>
    </xdr:from>
    <xdr:ext cx="2931379" cy="34541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13EBCCFD-35B4-409A-8DC6-90F5D2EC992A}"/>
                </a:ext>
              </a:extLst>
            </xdr:cNvPr>
            <xdr:cNvSpPr txBox="1"/>
          </xdr:nvSpPr>
          <xdr:spPr>
            <a:xfrm>
              <a:off x="0" y="5769571"/>
              <a:ext cx="2931379" cy="34541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1" i="1">
                        <a:latin typeface="Cambria Math" panose="02040503050406030204" pitchFamily="18" charset="0"/>
                      </a:rPr>
                      <m:t>∗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𝑷𝒓𝒊𝒄𝒆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𝑨𝒅𝒋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. 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𝒇𝒂𝒄𝒕𝒐𝒓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 =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𝑨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𝒃</m:t>
                    </m:r>
                    <m:f>
                      <m:fPr>
                        <m:ctrlPr>
                          <a:rPr lang="en-US" sz="1100" b="1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100" b="1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𝑳</m:t>
                            </m:r>
                          </m:e>
                          <m:sub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𝒏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US" sz="1100" b="1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𝑳</m:t>
                            </m:r>
                          </m:e>
                          <m:sub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𝒐</m:t>
                            </m:r>
                          </m:sub>
                        </m:sSub>
                      </m:den>
                    </m:f>
                    <m:r>
                      <a:rPr lang="en-US" sz="1100" b="1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𝒄</m:t>
                    </m:r>
                    <m:f>
                      <m:fPr>
                        <m:ctrlPr>
                          <a:rPr lang="en-US" sz="1100" b="1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100" b="1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𝑴</m:t>
                            </m:r>
                          </m:e>
                          <m:sub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𝒏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US" sz="1100" b="1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𝑴</m:t>
                            </m:r>
                          </m:e>
                          <m:sub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𝒐</m:t>
                            </m:r>
                          </m:sub>
                        </m:sSub>
                      </m:den>
                    </m:f>
                    <m:r>
                      <a:rPr lang="en-US" sz="1100" b="1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𝒅</m:t>
                    </m:r>
                    <m:f>
                      <m:fPr>
                        <m:ctrlPr>
                          <a:rPr lang="en-US" sz="1100" b="1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100" b="1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𝑬</m:t>
                            </m:r>
                          </m:e>
                          <m:sub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𝒏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US" sz="1100" b="1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𝑬</m:t>
                            </m:r>
                          </m:e>
                          <m:sub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𝒐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GB" sz="1100" b="1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13EBCCFD-35B4-409A-8DC6-90F5D2EC992A}"/>
                </a:ext>
              </a:extLst>
            </xdr:cNvPr>
            <xdr:cNvSpPr txBox="1"/>
          </xdr:nvSpPr>
          <xdr:spPr>
            <a:xfrm>
              <a:off x="0" y="5769571"/>
              <a:ext cx="2931379" cy="34541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1" i="0">
                  <a:latin typeface="Cambria Math" panose="02040503050406030204" pitchFamily="18" charset="0"/>
                </a:rPr>
                <a:t>∗𝑷𝒓𝒊𝒄𝒆 𝑨𝒅𝒋. 𝒇𝒂𝒄𝒕𝒐𝒓 =𝑨+𝒃 𝑳_𝒏/𝑳_𝒐 +𝒄 𝑴_𝒏/𝑴_𝒐 +𝒅 𝑬_𝒏/𝑬_𝒐 </a:t>
              </a:r>
              <a:endParaRPr lang="en-GB" sz="1100" b="1"/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114300</xdr:colOff>
      <xdr:row>25</xdr:row>
      <xdr:rowOff>57150</xdr:rowOff>
    </xdr:from>
    <xdr:ext cx="2962275" cy="352425"/>
    <xdr:pic>
      <xdr:nvPicPr>
        <xdr:cNvPr id="2" name="image1.png" title="Image">
          <a:extLst>
            <a:ext uri="{FF2B5EF4-FFF2-40B4-BE49-F238E27FC236}">
              <a16:creationId xmlns:a16="http://schemas.microsoft.com/office/drawing/2014/main" id="{E298E67C-9BEB-4D54-BB0D-6CE6DCDBAB28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14300" y="5915025"/>
          <a:ext cx="2962275" cy="352425"/>
        </a:xfrm>
        <a:prstGeom prst="rect">
          <a:avLst/>
        </a:prstGeom>
        <a:noFill/>
      </xdr:spPr>
    </xdr:pic>
    <xdr:clientData fLocksWithSheet="0"/>
  </xdr:oneCellAnchor>
  <xdr:oneCellAnchor>
    <xdr:from>
      <xdr:col>7</xdr:col>
      <xdr:colOff>857249</xdr:colOff>
      <xdr:row>11</xdr:row>
      <xdr:rowOff>105833</xdr:rowOff>
    </xdr:from>
    <xdr:ext cx="3820583" cy="836084"/>
    <xdr:sp macro="" textlink="">
      <xdr:nvSpPr>
        <xdr:cNvPr id="3" name="Rectangle: Diagonal Corners Rounded 2">
          <a:extLst>
            <a:ext uri="{FF2B5EF4-FFF2-40B4-BE49-F238E27FC236}">
              <a16:creationId xmlns:a16="http://schemas.microsoft.com/office/drawing/2014/main" id="{68076493-0B3D-4F74-B1A2-CB4D1B23AEB8}"/>
            </a:ext>
          </a:extLst>
        </xdr:cNvPr>
        <xdr:cNvSpPr/>
      </xdr:nvSpPr>
      <xdr:spPr>
        <a:xfrm>
          <a:off x="7133166" y="2709333"/>
          <a:ext cx="3820583" cy="836084"/>
        </a:xfrm>
        <a:prstGeom prst="round2DiagRect">
          <a:avLst>
            <a:gd name="adj1" fmla="val 16667"/>
            <a:gd name="adj2" fmla="val 0"/>
          </a:avLst>
        </a:prstGeom>
        <a:solidFill>
          <a:srgbClr val="FFFF00"/>
        </a:solidFill>
        <a:ln w="28575">
          <a:solidFill>
            <a:schemeClr val="accent1"/>
          </a:solidFill>
          <a:prstDash val="solid"/>
          <a:extLst>
            <a:ext uri="{C807C97D-BFC1-408E-A445-0C87EB9F89A2}">
              <ask:lineSketchStyleProps xmlns:ask="http://schemas.microsoft.com/office/drawing/2018/sketchyshapes" sd="2997462627">
                <a:custGeom>
                  <a:avLst/>
                  <a:gdLst>
                    <a:gd name="connsiteX0" fmla="*/ 0 w 3392724"/>
                    <a:gd name="connsiteY0" fmla="*/ 0 h 718530"/>
                    <a:gd name="connsiteX1" fmla="*/ 3392724 w 3392724"/>
                    <a:gd name="connsiteY1" fmla="*/ 0 h 718530"/>
                    <a:gd name="connsiteX2" fmla="*/ 3392724 w 3392724"/>
                    <a:gd name="connsiteY2" fmla="*/ 718530 h 718530"/>
                    <a:gd name="connsiteX3" fmla="*/ 0 w 3392724"/>
                    <a:gd name="connsiteY3" fmla="*/ 718530 h 718530"/>
                    <a:gd name="connsiteX4" fmla="*/ 0 w 3392724"/>
                    <a:gd name="connsiteY4" fmla="*/ 0 h 718530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</a:cxnLst>
                  <a:rect l="l" t="t" r="r" b="b"/>
                  <a:pathLst>
                    <a:path w="3392724" h="718530" fill="none" extrusionOk="0">
                      <a:moveTo>
                        <a:pt x="0" y="0"/>
                      </a:moveTo>
                      <a:cubicBezTo>
                        <a:pt x="1027638" y="-139906"/>
                        <a:pt x="1886075" y="94422"/>
                        <a:pt x="3392724" y="0"/>
                      </a:cubicBezTo>
                      <a:cubicBezTo>
                        <a:pt x="3354882" y="162894"/>
                        <a:pt x="3440364" y="436689"/>
                        <a:pt x="3392724" y="718530"/>
                      </a:cubicBezTo>
                      <a:cubicBezTo>
                        <a:pt x="1970128" y="784435"/>
                        <a:pt x="1520877" y="864967"/>
                        <a:pt x="0" y="718530"/>
                      </a:cubicBezTo>
                      <a:cubicBezTo>
                        <a:pt x="-48340" y="430141"/>
                        <a:pt x="-33985" y="208952"/>
                        <a:pt x="0" y="0"/>
                      </a:cubicBezTo>
                      <a:close/>
                    </a:path>
                    <a:path w="3392724" h="718530" stroke="0" extrusionOk="0">
                      <a:moveTo>
                        <a:pt x="0" y="0"/>
                      </a:moveTo>
                      <a:cubicBezTo>
                        <a:pt x="900590" y="1335"/>
                        <a:pt x="2731571" y="132547"/>
                        <a:pt x="3392724" y="0"/>
                      </a:cubicBezTo>
                      <a:cubicBezTo>
                        <a:pt x="3377234" y="142250"/>
                        <a:pt x="3346814" y="498408"/>
                        <a:pt x="3392724" y="718530"/>
                      </a:cubicBezTo>
                      <a:cubicBezTo>
                        <a:pt x="3045618" y="682904"/>
                        <a:pt x="1273848" y="648143"/>
                        <a:pt x="0" y="718530"/>
                      </a:cubicBezTo>
                      <a:cubicBezTo>
                        <a:pt x="1927" y="547910"/>
                        <a:pt x="1991" y="251751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  <a:effectLst>
          <a:softEdge rad="0"/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wrap="none" lIns="91440" tIns="45720" rIns="91440" bIns="45720">
          <a:noAutofit/>
        </a:bodyPr>
        <a:lstStyle/>
        <a:p>
          <a:pPr algn="l"/>
          <a:r>
            <a:rPr lang="en-US" sz="2000" b="0" cap="none" spc="0">
              <a:ln w="10160">
                <a:solidFill>
                  <a:schemeClr val="accent1"/>
                </a:solidFill>
                <a:prstDash val="solid"/>
              </a:ln>
              <a:solidFill>
                <a:schemeClr val="accent1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- Input data in highlighted cells</a:t>
          </a:r>
        </a:p>
        <a:p>
          <a:pPr algn="l"/>
          <a:r>
            <a:rPr lang="en-US" sz="2000" b="0" cap="none" spc="0">
              <a:ln w="10160">
                <a:solidFill>
                  <a:schemeClr val="accent1"/>
                </a:solidFill>
                <a:prstDash val="solid"/>
              </a:ln>
              <a:solidFill>
                <a:schemeClr val="accent1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- Resize</a:t>
          </a:r>
          <a:r>
            <a:rPr lang="en-US" sz="2000" b="0" cap="none" spc="0" baseline="0">
              <a:ln w="10160">
                <a:solidFill>
                  <a:schemeClr val="accent1"/>
                </a:solidFill>
                <a:prstDash val="solid"/>
              </a:ln>
              <a:solidFill>
                <a:schemeClr val="accent1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 the table rows as required</a:t>
          </a:r>
          <a:endParaRPr lang="en-US" sz="2000" b="0" cap="none" spc="0">
            <a:ln w="10160">
              <a:solidFill>
                <a:schemeClr val="accent1"/>
              </a:solidFill>
              <a:prstDash val="solid"/>
            </a:ln>
            <a:solidFill>
              <a:schemeClr val="accent1"/>
            </a:solidFill>
            <a:effectLst>
              <a:outerShdw blurRad="38100" dist="32000" dir="5400000" algn="tl">
                <a:srgbClr val="000000">
                  <a:alpha val="30000"/>
                </a:srgbClr>
              </a:outerShdw>
            </a:effectLst>
          </a:endParaRPr>
        </a:p>
      </xdr:txBody>
    </xdr:sp>
    <xdr:clientData fPrint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519443</xdr:colOff>
      <xdr:row>3</xdr:row>
      <xdr:rowOff>0</xdr:rowOff>
    </xdr:from>
    <xdr:ext cx="3071482" cy="655949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E8DD0D93-69EC-4F5F-8281-E421870669A9}"/>
            </a:ext>
          </a:extLst>
        </xdr:cNvPr>
        <xdr:cNvSpPr/>
      </xdr:nvSpPr>
      <xdr:spPr>
        <a:xfrm>
          <a:off x="7806068" y="1162050"/>
          <a:ext cx="3071482" cy="655949"/>
        </a:xfrm>
        <a:prstGeom prst="rect">
          <a:avLst/>
        </a:prstGeom>
        <a:solidFill>
          <a:srgbClr val="FFFF00"/>
        </a:solidFill>
        <a:ln>
          <a:solidFill>
            <a:schemeClr val="accent1"/>
          </a:solidFill>
          <a:prstDash val="lgDash"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wrap="none" lIns="91440" tIns="45720" rIns="91440" bIns="45720">
          <a:spAutoFit/>
        </a:bodyPr>
        <a:lstStyle/>
        <a:p>
          <a:pPr algn="l"/>
          <a:r>
            <a:rPr lang="en-US" sz="1800" b="0" cap="none" spc="0">
              <a:ln w="10160">
                <a:solidFill>
                  <a:schemeClr val="accent1"/>
                </a:solidFill>
                <a:prstDash val="solid"/>
              </a:ln>
              <a:solidFill>
                <a:schemeClr val="accent1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- Input data in highlighted cells</a:t>
          </a:r>
        </a:p>
        <a:p>
          <a:pPr algn="l"/>
          <a:r>
            <a:rPr lang="en-US" sz="1800" b="0" cap="none" spc="0">
              <a:ln w="10160">
                <a:solidFill>
                  <a:schemeClr val="accent1"/>
                </a:solidFill>
                <a:prstDash val="solid"/>
              </a:ln>
              <a:solidFill>
                <a:schemeClr val="accent1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- Dates in BS</a:t>
          </a:r>
        </a:p>
      </xdr:txBody>
    </xdr:sp>
    <xdr:clientData fPrintsWithSheet="0"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Downloads\Price%20Adj.xlsx" TargetMode="External"/><Relationship Id="rId1" Type="http://schemas.openxmlformats.org/officeDocument/2006/relationships/externalLinkPath" Target="/Downloads/Price%20Adj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dj"/>
      <sheetName val="pAdjAvg"/>
      <sheetName val="Indices"/>
    </sheetNames>
    <sheetDataSet>
      <sheetData sheetId="0" refreshError="1"/>
      <sheetData sheetId="1" refreshError="1"/>
      <sheetData sheetId="2">
        <row r="1">
          <cell r="A1" t="str">
            <v>SN</v>
          </cell>
          <cell r="B1" t="str">
            <v>Date</v>
          </cell>
        </row>
        <row r="2">
          <cell r="A2" t="str">
            <v>1999.00</v>
          </cell>
          <cell r="B2" t="str">
            <v>1999/00</v>
          </cell>
        </row>
        <row r="3">
          <cell r="A3" t="str">
            <v>2000.00</v>
          </cell>
          <cell r="B3" t="str">
            <v>2000/01</v>
          </cell>
        </row>
        <row r="4">
          <cell r="A4" t="str">
            <v>2001.00</v>
          </cell>
          <cell r="B4" t="str">
            <v>2001/02</v>
          </cell>
        </row>
        <row r="5">
          <cell r="A5" t="str">
            <v>2002.00</v>
          </cell>
          <cell r="B5" t="str">
            <v>2002/03</v>
          </cell>
        </row>
        <row r="6">
          <cell r="A6" t="str">
            <v>2003.00</v>
          </cell>
          <cell r="B6" t="str">
            <v>2003/04</v>
          </cell>
        </row>
        <row r="7">
          <cell r="A7" t="str">
            <v>2004.00</v>
          </cell>
          <cell r="B7" t="str">
            <v>2004/05</v>
          </cell>
        </row>
        <row r="8">
          <cell r="A8" t="str">
            <v>2005.00</v>
          </cell>
          <cell r="B8" t="str">
            <v>2005/06</v>
          </cell>
        </row>
        <row r="9">
          <cell r="A9" t="str">
            <v>2006.00</v>
          </cell>
          <cell r="B9" t="str">
            <v>2006/07</v>
          </cell>
        </row>
        <row r="10">
          <cell r="A10" t="str">
            <v>2007.00</v>
          </cell>
          <cell r="B10" t="str">
            <v>2007/08</v>
          </cell>
        </row>
        <row r="11">
          <cell r="A11" t="str">
            <v>2008.00</v>
          </cell>
          <cell r="B11" t="str">
            <v>2008/09</v>
          </cell>
        </row>
        <row r="12">
          <cell r="A12" t="str">
            <v>2009.00</v>
          </cell>
          <cell r="B12" t="str">
            <v>2009/10</v>
          </cell>
        </row>
        <row r="13">
          <cell r="A13" t="str">
            <v>2010.00</v>
          </cell>
          <cell r="B13" t="str">
            <v>2010/11</v>
          </cell>
        </row>
        <row r="14">
          <cell r="A14" t="str">
            <v>2011.00</v>
          </cell>
          <cell r="B14" t="str">
            <v>2011/12</v>
          </cell>
        </row>
        <row r="15">
          <cell r="A15" t="str">
            <v>2012.00</v>
          </cell>
          <cell r="B15" t="str">
            <v>2012/13</v>
          </cell>
        </row>
        <row r="16">
          <cell r="A16" t="str">
            <v>2013.00</v>
          </cell>
          <cell r="B16" t="str">
            <v>2013/14</v>
          </cell>
        </row>
        <row r="17">
          <cell r="A17" t="str">
            <v>2014.00</v>
          </cell>
          <cell r="B17" t="str">
            <v>2014/15</v>
          </cell>
        </row>
        <row r="18">
          <cell r="A18" t="str">
            <v>2015.00</v>
          </cell>
          <cell r="B18" t="str">
            <v>2015/16</v>
          </cell>
        </row>
        <row r="19">
          <cell r="A19" t="str">
            <v>2016.00</v>
          </cell>
          <cell r="B19" t="str">
            <v>2016/17</v>
          </cell>
        </row>
        <row r="20">
          <cell r="B20" t="str">
            <v>I Qtr</v>
          </cell>
        </row>
        <row r="21">
          <cell r="A21" t="str">
            <v>2016.08</v>
          </cell>
          <cell r="B21" t="str">
            <v>Jul/Aug</v>
          </cell>
        </row>
        <row r="22">
          <cell r="A22" t="str">
            <v>2016.09</v>
          </cell>
          <cell r="B22" t="str">
            <v>Aug/Sep</v>
          </cell>
        </row>
        <row r="23">
          <cell r="A23" t="str">
            <v>2016.10</v>
          </cell>
          <cell r="B23" t="str">
            <v>Sep/Oct</v>
          </cell>
        </row>
        <row r="24">
          <cell r="B24" t="str">
            <v>II Qtr</v>
          </cell>
        </row>
        <row r="25">
          <cell r="A25" t="str">
            <v>2016.11</v>
          </cell>
          <cell r="B25" t="str">
            <v>Oct/Nov</v>
          </cell>
        </row>
        <row r="26">
          <cell r="A26" t="str">
            <v>2016.12</v>
          </cell>
          <cell r="B26" t="str">
            <v>Nov/Dec</v>
          </cell>
        </row>
        <row r="27">
          <cell r="A27" t="str">
            <v>2017.01</v>
          </cell>
          <cell r="B27" t="str">
            <v>Dec/Jan</v>
          </cell>
        </row>
        <row r="28">
          <cell r="B28" t="str">
            <v>III Qtr</v>
          </cell>
        </row>
        <row r="29">
          <cell r="A29" t="str">
            <v>2017.02</v>
          </cell>
          <cell r="B29" t="str">
            <v>Jan/Feb</v>
          </cell>
        </row>
        <row r="30">
          <cell r="A30" t="str">
            <v>2017.03</v>
          </cell>
          <cell r="B30" t="str">
            <v>Feb/Mar</v>
          </cell>
        </row>
        <row r="31">
          <cell r="A31" t="str">
            <v>2017.04</v>
          </cell>
          <cell r="B31" t="str">
            <v>Mar/Apr</v>
          </cell>
        </row>
        <row r="32">
          <cell r="B32" t="str">
            <v>IV Qtr</v>
          </cell>
        </row>
        <row r="33">
          <cell r="A33" t="str">
            <v>2017.05</v>
          </cell>
          <cell r="B33" t="str">
            <v>Apr/May</v>
          </cell>
        </row>
        <row r="34">
          <cell r="A34" t="str">
            <v>2017.06</v>
          </cell>
          <cell r="B34" t="str">
            <v>May/Jun</v>
          </cell>
        </row>
        <row r="35">
          <cell r="A35" t="str">
            <v>2017.07</v>
          </cell>
          <cell r="B35" t="str">
            <v>Jun/Jul</v>
          </cell>
        </row>
        <row r="37">
          <cell r="B37" t="str">
            <v>2017/18</v>
          </cell>
        </row>
        <row r="38">
          <cell r="B38" t="str">
            <v>I Qtr</v>
          </cell>
        </row>
        <row r="39">
          <cell r="A39" t="str">
            <v>2017.08</v>
          </cell>
          <cell r="B39" t="str">
            <v>Jul/Aug</v>
          </cell>
        </row>
        <row r="40">
          <cell r="A40" t="str">
            <v>2017.09</v>
          </cell>
          <cell r="B40" t="str">
            <v>Aug/Sep</v>
          </cell>
        </row>
        <row r="41">
          <cell r="A41" t="str">
            <v>2017.10</v>
          </cell>
          <cell r="B41" t="str">
            <v>Sep/Oct</v>
          </cell>
        </row>
        <row r="43">
          <cell r="B43" t="str">
            <v>II Qtr</v>
          </cell>
        </row>
        <row r="44">
          <cell r="A44" t="str">
            <v>2017.11</v>
          </cell>
          <cell r="B44" t="str">
            <v>Oct/Nov</v>
          </cell>
        </row>
        <row r="45">
          <cell r="A45" t="str">
            <v>2017.12</v>
          </cell>
          <cell r="B45" t="str">
            <v>Nov/Dec</v>
          </cell>
        </row>
        <row r="46">
          <cell r="A46" t="str">
            <v>2018.01</v>
          </cell>
          <cell r="B46" t="str">
            <v>Dec/Jan</v>
          </cell>
        </row>
        <row r="48">
          <cell r="B48" t="str">
            <v>III Qtr</v>
          </cell>
        </row>
        <row r="49">
          <cell r="A49" t="str">
            <v>2018.02</v>
          </cell>
          <cell r="B49" t="str">
            <v>Jan/Feb</v>
          </cell>
        </row>
        <row r="50">
          <cell r="A50" t="str">
            <v>2018.03</v>
          </cell>
          <cell r="B50" t="str">
            <v>Feb/Mar</v>
          </cell>
        </row>
        <row r="51">
          <cell r="A51" t="str">
            <v>2018.04</v>
          </cell>
          <cell r="B51" t="str">
            <v>Mar/Apr</v>
          </cell>
        </row>
        <row r="53">
          <cell r="B53" t="str">
            <v>IV Qtr</v>
          </cell>
        </row>
        <row r="54">
          <cell r="A54" t="str">
            <v>2018.05</v>
          </cell>
          <cell r="B54" t="str">
            <v>Apr/May</v>
          </cell>
        </row>
        <row r="55">
          <cell r="A55" t="str">
            <v>2018.06</v>
          </cell>
          <cell r="B55" t="str">
            <v>May/Jun</v>
          </cell>
        </row>
        <row r="56">
          <cell r="A56" t="str">
            <v>2018.07</v>
          </cell>
          <cell r="B56" t="str">
            <v>Jun/Jul</v>
          </cell>
        </row>
        <row r="58">
          <cell r="B58" t="str">
            <v>2018/19</v>
          </cell>
        </row>
        <row r="59">
          <cell r="B59" t="str">
            <v>I Qtr</v>
          </cell>
        </row>
        <row r="60">
          <cell r="A60" t="str">
            <v>2018.08</v>
          </cell>
          <cell r="B60" t="str">
            <v>Jul/Aug</v>
          </cell>
        </row>
        <row r="61">
          <cell r="A61" t="str">
            <v>2018.09</v>
          </cell>
          <cell r="B61" t="str">
            <v>Aug/Sep</v>
          </cell>
        </row>
        <row r="62">
          <cell r="A62" t="str">
            <v>2018.10</v>
          </cell>
          <cell r="B62" t="str">
            <v>Sep/Oct</v>
          </cell>
        </row>
        <row r="64">
          <cell r="B64" t="str">
            <v>II Qtr</v>
          </cell>
        </row>
        <row r="65">
          <cell r="A65" t="str">
            <v>2018.11</v>
          </cell>
          <cell r="B65" t="str">
            <v>Oct/Nov</v>
          </cell>
        </row>
        <row r="66">
          <cell r="A66" t="str">
            <v>2018.12</v>
          </cell>
          <cell r="B66" t="str">
            <v>Nov/Dec</v>
          </cell>
        </row>
        <row r="67">
          <cell r="A67" t="str">
            <v>2019.01</v>
          </cell>
          <cell r="B67" t="str">
            <v>Dec/Jan</v>
          </cell>
        </row>
        <row r="69">
          <cell r="B69" t="str">
            <v>III Qtr</v>
          </cell>
        </row>
        <row r="70">
          <cell r="A70" t="str">
            <v>2019.02</v>
          </cell>
          <cell r="B70" t="str">
            <v>Jan/Feb</v>
          </cell>
        </row>
        <row r="71">
          <cell r="A71" t="str">
            <v>2019.03</v>
          </cell>
          <cell r="B71" t="str">
            <v>Feb/Mar</v>
          </cell>
        </row>
        <row r="72">
          <cell r="A72" t="str">
            <v>2019.04</v>
          </cell>
          <cell r="B72" t="str">
            <v>Mar/Apr</v>
          </cell>
        </row>
        <row r="74">
          <cell r="B74" t="str">
            <v>IV Qtr</v>
          </cell>
        </row>
        <row r="75">
          <cell r="A75" t="str">
            <v>2019.05</v>
          </cell>
          <cell r="B75" t="str">
            <v>Apr/May</v>
          </cell>
        </row>
        <row r="76">
          <cell r="A76" t="str">
            <v>2019.06</v>
          </cell>
          <cell r="B76" t="str">
            <v>May/Jun</v>
          </cell>
        </row>
        <row r="77">
          <cell r="A77" t="str">
            <v>2019.07</v>
          </cell>
          <cell r="B77" t="str">
            <v>Jun/Jul</v>
          </cell>
        </row>
        <row r="79">
          <cell r="B79" t="str">
            <v>2019/20</v>
          </cell>
        </row>
        <row r="80">
          <cell r="B80" t="str">
            <v>I Qtr</v>
          </cell>
        </row>
        <row r="81">
          <cell r="A81" t="str">
            <v>2019.08</v>
          </cell>
          <cell r="B81" t="str">
            <v>Jul/Aug</v>
          </cell>
        </row>
        <row r="82">
          <cell r="A82" t="str">
            <v>2019.09</v>
          </cell>
          <cell r="B82" t="str">
            <v>Aug/Sep</v>
          </cell>
        </row>
        <row r="83">
          <cell r="A83" t="str">
            <v>2019.10</v>
          </cell>
          <cell r="B83" t="str">
            <v>Sep/Oct</v>
          </cell>
        </row>
        <row r="85">
          <cell r="B85" t="str">
            <v>II Qtr</v>
          </cell>
        </row>
        <row r="86">
          <cell r="A86" t="str">
            <v>2019.11</v>
          </cell>
          <cell r="B86" t="str">
            <v>Oct/Nov</v>
          </cell>
        </row>
        <row r="87">
          <cell r="A87" t="str">
            <v>2019.12</v>
          </cell>
          <cell r="B87" t="str">
            <v>Nov/Dec</v>
          </cell>
        </row>
        <row r="88">
          <cell r="A88" t="str">
            <v>2020.01</v>
          </cell>
          <cell r="B88" t="str">
            <v>Dec/Jan</v>
          </cell>
        </row>
        <row r="90">
          <cell r="B90" t="str">
            <v>III Qtr</v>
          </cell>
        </row>
        <row r="91">
          <cell r="A91" t="str">
            <v>2020.02</v>
          </cell>
          <cell r="B91" t="str">
            <v>Jan/Feb</v>
          </cell>
        </row>
        <row r="92">
          <cell r="A92" t="str">
            <v>2020.03</v>
          </cell>
          <cell r="B92" t="str">
            <v>Feb/Mar</v>
          </cell>
        </row>
        <row r="93">
          <cell r="A93" t="str">
            <v>2020.04</v>
          </cell>
          <cell r="B93" t="str">
            <v>Mar/Apr</v>
          </cell>
        </row>
        <row r="95">
          <cell r="B95" t="str">
            <v>IV Qtr</v>
          </cell>
        </row>
        <row r="96">
          <cell r="A96" t="str">
            <v>2020.05</v>
          </cell>
          <cell r="B96" t="str">
            <v>Apr/May</v>
          </cell>
        </row>
        <row r="97">
          <cell r="A97" t="str">
            <v>2020.06</v>
          </cell>
          <cell r="B97" t="str">
            <v>May/Jun</v>
          </cell>
        </row>
        <row r="98">
          <cell r="A98" t="str">
            <v>2020.07</v>
          </cell>
          <cell r="B98" t="str">
            <v>Jun/Jul</v>
          </cell>
        </row>
        <row r="100">
          <cell r="B100" t="str">
            <v>2020/21</v>
          </cell>
        </row>
        <row r="101">
          <cell r="B101" t="str">
            <v>I Qtr</v>
          </cell>
        </row>
        <row r="102">
          <cell r="A102" t="str">
            <v>2020.08</v>
          </cell>
          <cell r="B102" t="str">
            <v>Jul/Aug</v>
          </cell>
        </row>
        <row r="103">
          <cell r="A103" t="str">
            <v>2020.09</v>
          </cell>
          <cell r="B103" t="str">
            <v>Aug/Sep</v>
          </cell>
        </row>
        <row r="104">
          <cell r="A104" t="str">
            <v>2020.10</v>
          </cell>
          <cell r="B104" t="str">
            <v>Sep/Oct</v>
          </cell>
        </row>
        <row r="106">
          <cell r="B106" t="str">
            <v>II Qtr</v>
          </cell>
        </row>
        <row r="107">
          <cell r="A107" t="str">
            <v>2020.11</v>
          </cell>
          <cell r="B107" t="str">
            <v>Oct/Nov</v>
          </cell>
        </row>
        <row r="108">
          <cell r="A108" t="str">
            <v>2020.12</v>
          </cell>
          <cell r="B108" t="str">
            <v>Nov/Dec</v>
          </cell>
        </row>
        <row r="109">
          <cell r="A109" t="str">
            <v>2021.01</v>
          </cell>
          <cell r="B109" t="str">
            <v>Dec/Jan</v>
          </cell>
        </row>
        <row r="111">
          <cell r="B111" t="str">
            <v>III Qtr</v>
          </cell>
        </row>
        <row r="112">
          <cell r="A112" t="str">
            <v>2021.02</v>
          </cell>
          <cell r="B112" t="str">
            <v>Jan/Feb</v>
          </cell>
        </row>
        <row r="113">
          <cell r="A113" t="str">
            <v>2021.03</v>
          </cell>
          <cell r="B113" t="str">
            <v>Feb/Mar</v>
          </cell>
        </row>
        <row r="114">
          <cell r="A114" t="str">
            <v>2021.04</v>
          </cell>
          <cell r="B114" t="str">
            <v>Mar/Apr</v>
          </cell>
        </row>
        <row r="116">
          <cell r="B116" t="str">
            <v>IV Qtr</v>
          </cell>
        </row>
        <row r="117">
          <cell r="A117" t="str">
            <v>2021.05</v>
          </cell>
          <cell r="B117" t="str">
            <v>Apr/May</v>
          </cell>
        </row>
        <row r="118">
          <cell r="A118" t="str">
            <v>2021.06</v>
          </cell>
          <cell r="B118" t="str">
            <v>May/Jun</v>
          </cell>
        </row>
        <row r="119">
          <cell r="A119" t="str">
            <v>2021.07</v>
          </cell>
          <cell r="B119" t="str">
            <v>Jun/Jul</v>
          </cell>
        </row>
        <row r="121">
          <cell r="B121" t="str">
            <v>2021/22</v>
          </cell>
        </row>
        <row r="122">
          <cell r="B122" t="str">
            <v>I Qtr</v>
          </cell>
        </row>
        <row r="123">
          <cell r="A123" t="str">
            <v>2021.08</v>
          </cell>
          <cell r="B123" t="str">
            <v>Jul/Aug</v>
          </cell>
        </row>
        <row r="124">
          <cell r="A124" t="str">
            <v>2021.09</v>
          </cell>
          <cell r="B124" t="str">
            <v>Aug/Sep</v>
          </cell>
        </row>
        <row r="125">
          <cell r="A125" t="str">
            <v>2021.10</v>
          </cell>
          <cell r="B125" t="str">
            <v>Sep/Oct</v>
          </cell>
        </row>
        <row r="127">
          <cell r="B127" t="str">
            <v>II Qtr</v>
          </cell>
        </row>
        <row r="128">
          <cell r="A128" t="str">
            <v>2021.11</v>
          </cell>
          <cell r="B128" t="str">
            <v>Oct/Nov</v>
          </cell>
        </row>
        <row r="129">
          <cell r="A129" t="str">
            <v>2021.12</v>
          </cell>
          <cell r="B129" t="str">
            <v>Nov/Dec</v>
          </cell>
        </row>
        <row r="130">
          <cell r="A130" t="str">
            <v>2022.01</v>
          </cell>
          <cell r="B130" t="str">
            <v>Dec/Jan</v>
          </cell>
        </row>
        <row r="132">
          <cell r="B132" t="str">
            <v>III Qtr</v>
          </cell>
        </row>
        <row r="133">
          <cell r="A133" t="str">
            <v>2022.02</v>
          </cell>
          <cell r="B133" t="str">
            <v>Jan/Feb</v>
          </cell>
        </row>
        <row r="134">
          <cell r="A134" t="str">
            <v>2022.03</v>
          </cell>
          <cell r="B134" t="str">
            <v>Feb/Mar</v>
          </cell>
        </row>
        <row r="135">
          <cell r="A135" t="str">
            <v>2022.04</v>
          </cell>
          <cell r="B135" t="str">
            <v>Mar/Apr</v>
          </cell>
        </row>
        <row r="137">
          <cell r="B137" t="str">
            <v>IV Qtr</v>
          </cell>
        </row>
        <row r="138">
          <cell r="A138" t="str">
            <v>2022.05</v>
          </cell>
          <cell r="B138" t="str">
            <v>Apr/May</v>
          </cell>
        </row>
        <row r="139">
          <cell r="A139" t="str">
            <v>2022.06</v>
          </cell>
          <cell r="B139" t="str">
            <v>May/Jun</v>
          </cell>
        </row>
        <row r="140">
          <cell r="A140" t="str">
            <v>2022.07</v>
          </cell>
          <cell r="B140" t="str">
            <v>Jun/Jul</v>
          </cell>
        </row>
        <row r="142">
          <cell r="B142" t="str">
            <v>2022/23</v>
          </cell>
        </row>
        <row r="143">
          <cell r="B143" t="str">
            <v>I Qtr</v>
          </cell>
        </row>
        <row r="144">
          <cell r="A144" t="str">
            <v>2022.08</v>
          </cell>
          <cell r="B144" t="str">
            <v>Jul/Aug</v>
          </cell>
        </row>
        <row r="145">
          <cell r="A145" t="str">
            <v>2022.09</v>
          </cell>
          <cell r="B145" t="str">
            <v>Aug/Sep</v>
          </cell>
        </row>
        <row r="146">
          <cell r="A146" t="str">
            <v>2022.10</v>
          </cell>
          <cell r="B146" t="str">
            <v>Sep/Oct</v>
          </cell>
        </row>
        <row r="148">
          <cell r="B148" t="str">
            <v>II Qtr</v>
          </cell>
        </row>
        <row r="149">
          <cell r="A149" t="str">
            <v>2022.11</v>
          </cell>
          <cell r="B149" t="str">
            <v>Oct/Nov</v>
          </cell>
        </row>
        <row r="150">
          <cell r="A150" t="str">
            <v>2022.12</v>
          </cell>
          <cell r="B150" t="str">
            <v>Nov/Dec</v>
          </cell>
        </row>
        <row r="151">
          <cell r="A151" t="str">
            <v>2023.01</v>
          </cell>
          <cell r="B151" t="str">
            <v>Dec/Jan</v>
          </cell>
        </row>
        <row r="153">
          <cell r="B153" t="str">
            <v>III Qtr</v>
          </cell>
        </row>
        <row r="154">
          <cell r="A154" t="str">
            <v>2023.02</v>
          </cell>
          <cell r="B154" t="str">
            <v>Jan/Feb</v>
          </cell>
        </row>
        <row r="155">
          <cell r="A155" t="str">
            <v>2023.03</v>
          </cell>
          <cell r="B155" t="str">
            <v>Feb/Mar</v>
          </cell>
        </row>
        <row r="156">
          <cell r="A156" t="str">
            <v>2023.04</v>
          </cell>
          <cell r="B156" t="str">
            <v>Mar/Apr</v>
          </cell>
        </row>
        <row r="158">
          <cell r="B158" t="str">
            <v>IV Qtr</v>
          </cell>
        </row>
        <row r="159">
          <cell r="A159" t="str">
            <v>2023.05</v>
          </cell>
          <cell r="B159" t="str">
            <v>Apr/May</v>
          </cell>
        </row>
        <row r="160">
          <cell r="A160" t="str">
            <v>2023.06</v>
          </cell>
          <cell r="B160" t="str">
            <v>May/Jun</v>
          </cell>
        </row>
        <row r="161">
          <cell r="A161" t="str">
            <v>2023.07</v>
          </cell>
          <cell r="B161" t="str">
            <v>Jun/Jul</v>
          </cell>
        </row>
        <row r="163">
          <cell r="B163" t="str">
            <v>2023/24</v>
          </cell>
        </row>
        <row r="164">
          <cell r="B164" t="str">
            <v>I Qtr</v>
          </cell>
        </row>
        <row r="165">
          <cell r="A165" t="str">
            <v>2023.08</v>
          </cell>
          <cell r="B165" t="str">
            <v>Jul/Aug</v>
          </cell>
        </row>
        <row r="166">
          <cell r="A166" t="str">
            <v>2023.09</v>
          </cell>
          <cell r="B166" t="str">
            <v>Aug/Sep</v>
          </cell>
        </row>
        <row r="167">
          <cell r="A167" t="str">
            <v>2023.10</v>
          </cell>
          <cell r="B167" t="str">
            <v>Sep/Oct</v>
          </cell>
        </row>
        <row r="169">
          <cell r="B169" t="str">
            <v>II Qtr</v>
          </cell>
        </row>
        <row r="170">
          <cell r="A170" t="str">
            <v>2023.11</v>
          </cell>
          <cell r="B170" t="str">
            <v>Oct/Nov</v>
          </cell>
        </row>
        <row r="171">
          <cell r="A171" t="str">
            <v>2023.12</v>
          </cell>
          <cell r="B171" t="str">
            <v>Nov/Dec</v>
          </cell>
        </row>
        <row r="172">
          <cell r="A172" t="str">
            <v>2024.01</v>
          </cell>
          <cell r="B172" t="str">
            <v>Dec/Jan</v>
          </cell>
        </row>
        <row r="174">
          <cell r="B174" t="str">
            <v>III Qtr</v>
          </cell>
        </row>
        <row r="175">
          <cell r="B175" t="str">
            <v>Jan/Feb</v>
          </cell>
        </row>
        <row r="176">
          <cell r="B176" t="str">
            <v>Feb/Mar</v>
          </cell>
        </row>
        <row r="177">
          <cell r="B177" t="str">
            <v>Mar/Apr</v>
          </cell>
        </row>
        <row r="179">
          <cell r="B179" t="str">
            <v>IV Qtr</v>
          </cell>
        </row>
        <row r="180">
          <cell r="B180" t="str">
            <v>Apr/May</v>
          </cell>
        </row>
        <row r="181">
          <cell r="B181" t="str">
            <v>May/Jun</v>
          </cell>
        </row>
        <row r="182">
          <cell r="B182" t="str">
            <v>Jun/Jul</v>
          </cell>
        </row>
      </sheetData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ipcTable" displayName="ipcTable" ref="A19:L24" totalsRowCount="1" headerRowDxfId="115" dataDxfId="113" totalsRowDxfId="111" headerRowBorderDxfId="114" tableBorderDxfId="112" totalsRowBorderDxfId="110">
  <tableColumns count="12">
    <tableColumn id="1" xr3:uid="{00000000-0010-0000-0000-000001000000}" name="IPC No." dataDxfId="109" totalsRowDxfId="11"/>
    <tableColumn id="2" xr3:uid="{00000000-0010-0000-0000-000002000000}" name="IPC Submission_x000a_Date" dataDxfId="108" totalsRowDxfId="10"/>
    <tableColumn id="11" xr3:uid="{00000000-0010-0000-0000-00000B000000}" name="IPC Amount_x000a_for Price Adj." totalsRowFunction="sum" dataDxfId="107" totalsRowDxfId="9" dataCellStyle="Comma"/>
    <tableColumn id="8" xr3:uid="{00000000-0010-0000-0000-000008000000}" name="30 days prior to IPC Submission Date" dataDxfId="106" totalsRowDxfId="8">
      <calculatedColumnFormula array="1">ad2bs(BS2AD(ipcTable[[#This Row],[IPC Submission
Date]])-30)</calculatedColumnFormula>
    </tableColumn>
    <tableColumn id="7" xr3:uid="{00000000-0010-0000-0000-000007000000}" name="AD Date" dataDxfId="105" totalsRowDxfId="7">
      <calculatedColumnFormula array="1">BS2AD(ipcTable[[#This Row],[30 days prior to IPC Submission Date]])</calculatedColumnFormula>
    </tableColumn>
    <tableColumn id="14" xr3:uid="{00000000-0010-0000-0000-00000E000000}" name="Month" dataDxfId="104" totalsRowDxfId="6">
      <calculatedColumnFormula array="1">CONCATENATE(LEFT(BSpAdj(ipcTable[[#This Row],[30 days prior to IPC Submission Date]],"qtr"),5),VLOOKUP(BSpAdj(ipcTable[[#This Row],[30 days prior to IPC Submission Date]],"qtr"),indexTable[],2))</calculatedColumnFormula>
    </tableColumn>
    <tableColumn id="3" xr3:uid="{00000000-0010-0000-0000-000003000000}" name="Ln" dataDxfId="103" totalsRowDxfId="5">
      <calculatedColumnFormula array="1">BSpAdj(ipcTable[[#This Row],[30 days prior to IPC Submission Date]],"l")</calculatedColumnFormula>
    </tableColumn>
    <tableColumn id="4" xr3:uid="{00000000-0010-0000-0000-000004000000}" name="Mn" dataDxfId="102" totalsRowDxfId="4">
      <calculatedColumnFormula array="1">BSpAdj(ipcTable[[#This Row],[30 days prior to IPC Submission Date]],"m")</calculatedColumnFormula>
    </tableColumn>
    <tableColumn id="5" xr3:uid="{00000000-0010-0000-0000-000005000000}" name="En" dataDxfId="101" totalsRowDxfId="3">
      <calculatedColumnFormula array="1">BSpAdj(ipcTable[[#This Row],[30 days prior to IPC Submission Date]],"e")</calculatedColumnFormula>
    </tableColumn>
    <tableColumn id="6" xr3:uid="{00000000-0010-0000-0000-000006000000}" name="*Price Adj._x000a_factor" totalsRowLabel="TOTAL" dataDxfId="100" totalsRowDxfId="2">
      <calculatedColumnFormula>ROUND(a + b*ipcTable[[#This Row],[Ln]]/lo + c_*ipcTable[[#This Row],[Mn]]/mo + d*ipcTable[[#This Row],[En]]/no, 3)</calculatedColumnFormula>
    </tableColumn>
    <tableColumn id="9" xr3:uid="{00000000-0010-0000-0000-000009000000}" name="Net Price Adj._x000a_Amount" totalsRowFunction="sum" dataDxfId="99" totalsRowDxfId="1" dataCellStyle="Comma">
      <calculatedColumnFormula>ROUND((ipcTable[[#This Row],[*Price Adj.
factor]]-1) * ipcTable[[#This Row],[IPC Amount
for Price Adj.]],2)</calculatedColumnFormula>
    </tableColumn>
    <tableColumn id="12" xr3:uid="{00000000-0010-0000-0000-00000C000000}" name="Remarks" dataDxfId="98" totalsRowDxfId="0">
      <calculatedColumnFormula array="1">IF(VLOOKUP(BSpAdj(ipcTable[[#This Row],[IPC Submission
Date]],"qtr"),indexTable[],7,FALSE)="","",VLOOKUP(BSpAdj(ipcTable[[#This Row],[IPC Submission
Date]],"qtr"),indexTable[],7,FALSE))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E6155FE-821C-4534-A1D5-E5EC971EC08E}" name="Table3" displayName="Table3" ref="A20:Q25" totalsRowCount="1" headerRowDxfId="97" dataDxfId="95" totalsRowDxfId="93" headerRowBorderDxfId="96" tableBorderDxfId="94" totalsRowBorderDxfId="92" headerRowCellStyle="Normal 7">
  <autoFilter ref="A20:Q24" xr:uid="{FE6155FE-821C-4534-A1D5-E5EC971EC08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</autoFilter>
  <tableColumns count="17">
    <tableColumn id="1" xr3:uid="{3DF55BDF-491E-439F-8B5F-9F237FC85B53}" name="IPC No." dataDxfId="91" totalsRowDxfId="90" dataCellStyle="Normal 7"/>
    <tableColumn id="2" xr3:uid="{F6239E44-3AC5-4E3E-96B9-A0070C2F045F}" name="IPC Submission_x000a_ Date" dataDxfId="89" totalsRowDxfId="88"/>
    <tableColumn id="3" xr3:uid="{48B856B5-A03D-483E-9CB0-444786730854}" name="IPC Amount_x000a_ for Price Adj." totalsRowFunction="sum" dataDxfId="87" totalsRowDxfId="86" dataCellStyle="Comma"/>
    <tableColumn id="4" xr3:uid="{91645016-9D77-4CC7-B31C-4C50320520CD}" name="30 days prior to IPC Submission Date" dataDxfId="85" totalsRowDxfId="84" dataCellStyle="Normal 7">
      <calculatedColumnFormula array="1">ad2bs(BS2AD(Table3[[#This Row],[IPC Submission
 Date]])-30)</calculatedColumnFormula>
    </tableColumn>
    <tableColumn id="18" xr3:uid="{8DE42F6F-1EFC-4E70-9C41-0FFEBAACE45A}" name="AD Date" dataDxfId="83" totalsRowDxfId="82">
      <calculatedColumnFormula array="1">BS2AD(Table3[[#This Row],[30 days prior to IPC Submission Date]])</calculatedColumnFormula>
    </tableColumn>
    <tableColumn id="5" xr3:uid="{332C829B-9006-4E39-979C-EDB898C65202}" name="Start Date related to pAdj" dataDxfId="81" totalsRowDxfId="80"/>
    <tableColumn id="6" xr3:uid="{EDC297F4-B4B0-43FE-9DD3-552D7229564E}" name="End Date related to pAdj" dataDxfId="79" totalsRowDxfId="78"/>
    <tableColumn id="7" xr3:uid="{AE4D924F-9F29-452C-8917-5EB057A5DE36}" name="Months" dataDxfId="77" totalsRowDxfId="76" dataCellStyle="Normal 7">
      <calculatedColumnFormula array="1">CONCATENATE(LEFT(padj(Table3[[#This Row],[Start Date related to pAdj]],"qtr"),5),VLOOKUP(padj(Table3[[#This Row],[Start Date related to pAdj]],"qtr"),indexTable[],2))&amp;" to "&amp;CONCATENATE(LEFT(padj(Table3[[#This Row],[End Date related to pAdj]],"qtr"),5),VLOOKUP(padj(Table3[[#This Row],[End Date related to pAdj]],"qtr"),indexTable[],2))</calculatedColumnFormula>
    </tableColumn>
    <tableColumn id="8" xr3:uid="{BB7FF20B-0790-4FF4-990C-BB9E6B8F41CB}" name="L" dataDxfId="75" totalsRowDxfId="74" dataCellStyle="Normal 7">
      <calculatedColumnFormula array="1">pAdjAvg($F21,$G21,"l","list")</calculatedColumnFormula>
    </tableColumn>
    <tableColumn id="9" xr3:uid="{69272227-E54E-4823-9857-33930C6E3B5E}" name="M" dataDxfId="73" totalsRowDxfId="72" dataCellStyle="Normal 7">
      <calculatedColumnFormula array="1">pAdjAvg($F21,$G21,"m","list")</calculatedColumnFormula>
    </tableColumn>
    <tableColumn id="10" xr3:uid="{36A824B7-D079-4C93-84CC-BADFCDEF9F5D}" name="E" dataDxfId="71" totalsRowDxfId="70" dataCellStyle="Normal 7">
      <calculatedColumnFormula array="1">pAdjAvg($F21,$G21,"e","list")</calculatedColumnFormula>
    </tableColumn>
    <tableColumn id="11" xr3:uid="{CFA393E7-59D9-40C2-9D7A-4AD03499D523}" name="Ln" dataDxfId="69" totalsRowDxfId="68" dataCellStyle="Normal 7">
      <calculatedColumnFormula array="1">pAdjAvg($F21,$G21,"l","avg")</calculatedColumnFormula>
    </tableColumn>
    <tableColumn id="12" xr3:uid="{A8B047EE-6332-4CCB-93E0-C2A69DE619C1}" name="Mn" dataDxfId="67" totalsRowDxfId="66" dataCellStyle="Normal 7">
      <calculatedColumnFormula array="1">pAdjAvg($F21,$G21,"m","avg")</calculatedColumnFormula>
    </tableColumn>
    <tableColumn id="13" xr3:uid="{8600E56B-9519-410A-85F8-22D157E55D85}" name="En" dataDxfId="65" totalsRowDxfId="64" dataCellStyle="Normal 7">
      <calculatedColumnFormula array="1">pAdjAvg($F21,$G21,"e","avg")</calculatedColumnFormula>
    </tableColumn>
    <tableColumn id="14" xr3:uid="{27BC63EE-1E14-447A-A182-C6DFB1922D87}" name="*Price Adj._x000a_ factor" totalsRowLabel="TOTAL" dataDxfId="63" totalsRowDxfId="62" dataCellStyle="Normal 7">
      <calculatedColumnFormula>ROUND($A$17 + $B$17*Table3[[#This Row],[Ln]]/$C$12 + $C$17*Table3[[#This Row],[Mn]]/$D$12 + $D$17*Table3[[#This Row],[En]]/$E$12, 3)</calculatedColumnFormula>
    </tableColumn>
    <tableColumn id="15" xr3:uid="{9DFF2BF0-E493-42D6-BE9D-2DF810624943}" name="Net Price Adj._x000a_ Amount" totalsRowFunction="sum" dataDxfId="61" totalsRowDxfId="60" dataCellStyle="Normal 7">
      <calculatedColumnFormula>C21*(O21-1)</calculatedColumnFormula>
    </tableColumn>
    <tableColumn id="16" xr3:uid="{4B7FFB55-D3CB-48E8-8DD3-55C31655C642}" name="Remarks" dataDxfId="59" totalsRowDxfId="58" dataCellStyle="Normal 7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projectTable" displayName="projectTable" ref="A7:H9" totalsRowShown="0" headerRowDxfId="57" dataDxfId="55" headerRowBorderDxfId="56" tableBorderDxfId="54" totalsRowBorderDxfId="53">
  <autoFilter ref="A7:H9" xr:uid="{00000000-0009-0000-0100-000004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0100-000001000000}" name="Project" dataDxfId="52"/>
    <tableColumn id="2" xr3:uid="{00000000-0010-0000-0100-000002000000}" name="Actual Date_x000a_of Completion" dataDxfId="51"/>
    <tableColumn id="6" xr3:uid="{00000000-0010-0000-0100-000006000000}" name="AD Date" dataDxfId="50">
      <calculatedColumnFormula array="1">BS2AD(projectTable[[#This Row],[Actual Date
of Completion]])</calculatedColumnFormula>
    </tableColumn>
    <tableColumn id="7" xr3:uid="{00000000-0010-0000-0100-000007000000}" name="Month" dataDxfId="49">
      <calculatedColumnFormula array="1">CONCATENATE(LEFT(BSpAdj(projectTable[[#This Row],[Actual Date
of Completion]],"qtr"),5),VLOOKUP(BSpAdj(projectTable[[#This Row],[Actual Date
of Completion]],"qtr"),indexTable[],2,FALSE))</calculatedColumnFormula>
    </tableColumn>
    <tableColumn id="3" xr3:uid="{00000000-0010-0000-0100-000003000000}" name="National Wholesale_x000a_Price Index (overall)" dataDxfId="48">
      <calculatedColumnFormula>BSpAdj(projectTable[[#This Row],[Actual Date
of Completion]],"o")</calculatedColumnFormula>
    </tableColumn>
    <tableColumn id="4" xr3:uid="{00000000-0010-0000-0100-000004000000}" name="Amount Paid on_x000a_Completion (w/o VAT)" dataDxfId="47" dataCellStyle="Comma"/>
    <tableColumn id="8" xr3:uid="{EC6B288E-964C-4F28-BF5D-D5D2B9E69E1C}" name="Multplying Factor" dataDxfId="46" dataCellStyle="Comma">
      <calculatedColumnFormula>presentIndex/projectTable[[#This Row],[National Wholesale
Price Index (overall)]]</calculatedColumnFormula>
    </tableColumn>
    <tableColumn id="5" xr3:uid="{00000000-0010-0000-0100-000005000000}" name="Present Value_x000a_(w/o VAT)" dataDxfId="45" dataCellStyle="Comma">
      <calculatedColumnFormula>projectTable[[#This Row],[Amount Paid on
Completion (w/o VAT)]]*projectTable[[#This Row],[Multplying Factor]]</calculatedColumnFormula>
    </tableColumn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indexTable" displayName="indexTable" ref="A1:G182" totalsRowShown="0" headerRowDxfId="20" dataDxfId="19">
  <autoFilter ref="A1:G182" xr:uid="{00000000-0009-0000-0100-000001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0000000-0010-0000-0200-000001000000}" name="SN" dataDxfId="18"/>
    <tableColumn id="2" xr3:uid="{00000000-0010-0000-0200-000002000000}" name="Date" dataDxfId="17"/>
    <tableColumn id="3" xr3:uid="{00000000-0010-0000-0200-000003000000}" name="Labour" dataDxfId="16"/>
    <tableColumn id="4" xr3:uid="{00000000-0010-0000-0200-000004000000}" name="Material" dataDxfId="15"/>
    <tableColumn id="5" xr3:uid="{00000000-0010-0000-0200-000005000000}" name="Equipment" dataDxfId="14"/>
    <tableColumn id="6" xr3:uid="{00000000-0010-0000-0200-000006000000}" name="Overall" dataDxfId="13"/>
    <tableColumn id="7" xr3:uid="{2143F44C-1733-4E6A-B31A-BB0A99F4134A}" name="Remarks" dataDxfId="12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>
    <pageSetUpPr fitToPage="1"/>
  </sheetPr>
  <dimension ref="A1:L33"/>
  <sheetViews>
    <sheetView tabSelected="1" topLeftCell="A17" zoomScale="90" zoomScaleNormal="90" zoomScaleSheetLayoutView="85" workbookViewId="0">
      <selection activeCell="B33" sqref="B33"/>
    </sheetView>
  </sheetViews>
  <sheetFormatPr defaultColWidth="12.44140625" defaultRowHeight="14.4"/>
  <cols>
    <col min="1" max="1" width="15.33203125" bestFit="1" customWidth="1"/>
    <col min="2" max="2" width="16.33203125" customWidth="1"/>
    <col min="3" max="3" width="13.6640625" bestFit="1" customWidth="1"/>
    <col min="4" max="4" width="11" bestFit="1" customWidth="1"/>
    <col min="5" max="5" width="13.44140625" bestFit="1" customWidth="1"/>
    <col min="6" max="6" width="15.33203125" bestFit="1" customWidth="1"/>
    <col min="7" max="7" width="17" bestFit="1" customWidth="1"/>
    <col min="8" max="8" width="15.44140625" customWidth="1"/>
    <col min="9" max="9" width="10.88671875" customWidth="1"/>
    <col min="10" max="10" width="11.44140625" customWidth="1"/>
    <col min="11" max="11" width="14.5546875" customWidth="1"/>
    <col min="12" max="12" width="13.6640625" bestFit="1" customWidth="1"/>
    <col min="13" max="13" width="10.44140625" bestFit="1" customWidth="1"/>
  </cols>
  <sheetData>
    <row r="1" spans="1:12">
      <c r="A1" s="134"/>
      <c r="B1" s="134"/>
      <c r="C1" s="134"/>
      <c r="D1" s="134"/>
      <c r="E1" s="134"/>
      <c r="F1" s="134"/>
      <c r="G1" s="134"/>
      <c r="H1" s="134"/>
      <c r="I1" s="134"/>
      <c r="J1" s="134"/>
      <c r="K1" s="134"/>
      <c r="L1" s="134"/>
    </row>
    <row r="3" spans="1:12" ht="23.4">
      <c r="A3" s="135" t="s">
        <v>67</v>
      </c>
      <c r="B3" s="135"/>
      <c r="C3" s="135"/>
      <c r="D3" s="135"/>
      <c r="E3" s="135"/>
      <c r="F3" s="135"/>
      <c r="G3" s="135"/>
      <c r="H3" s="135"/>
      <c r="I3" s="135"/>
      <c r="J3" s="135"/>
      <c r="K3" s="135"/>
      <c r="L3" s="135"/>
    </row>
    <row r="4" spans="1:12" ht="18">
      <c r="A4" s="139" t="s">
        <v>99</v>
      </c>
      <c r="B4" s="139"/>
      <c r="C4" s="139"/>
      <c r="D4" s="139"/>
      <c r="E4" s="139"/>
      <c r="F4" s="139"/>
      <c r="G4" s="139"/>
      <c r="H4" s="139"/>
      <c r="I4" s="139"/>
      <c r="J4" s="139"/>
      <c r="K4" s="139"/>
      <c r="L4" s="139"/>
    </row>
    <row r="5" spans="1:12">
      <c r="A5" t="s">
        <v>89</v>
      </c>
      <c r="B5" s="136"/>
      <c r="C5" s="136"/>
      <c r="D5" s="136"/>
      <c r="E5" s="136"/>
      <c r="F5" s="136"/>
      <c r="G5" s="136"/>
      <c r="H5" s="136"/>
      <c r="I5" s="136"/>
      <c r="J5" s="136"/>
      <c r="K5" s="136"/>
      <c r="L5" s="136"/>
    </row>
    <row r="6" spans="1:12">
      <c r="A6" t="s">
        <v>66</v>
      </c>
      <c r="B6" s="137"/>
      <c r="C6" s="137"/>
      <c r="D6" s="137"/>
      <c r="E6" s="137"/>
      <c r="F6" s="137"/>
      <c r="G6" s="137"/>
      <c r="H6" s="137"/>
      <c r="I6" s="137"/>
      <c r="J6" s="137"/>
      <c r="K6" s="137"/>
      <c r="L6" s="137"/>
    </row>
    <row r="7" spans="1:12">
      <c r="A7" t="s">
        <v>44</v>
      </c>
      <c r="B7" s="137"/>
      <c r="C7" s="137"/>
      <c r="D7" s="137"/>
      <c r="E7" s="137"/>
      <c r="F7" s="137"/>
      <c r="G7" s="137"/>
      <c r="H7" s="137"/>
      <c r="I7" s="137"/>
      <c r="J7" s="137"/>
      <c r="K7" s="137"/>
      <c r="L7" s="137"/>
    </row>
    <row r="8" spans="1:12" ht="30.75" customHeight="1">
      <c r="A8" s="76" t="s">
        <v>43</v>
      </c>
      <c r="B8" s="138"/>
      <c r="C8" s="138"/>
      <c r="D8" s="138"/>
      <c r="E8" s="138"/>
      <c r="F8" s="138"/>
      <c r="G8" s="138"/>
      <c r="H8" s="138"/>
      <c r="I8" s="138"/>
      <c r="J8" s="138"/>
      <c r="K8" s="138"/>
      <c r="L8" s="138"/>
    </row>
    <row r="10" spans="1:12" ht="33" customHeight="1">
      <c r="A10" s="141" t="s">
        <v>92</v>
      </c>
      <c r="B10" s="145" t="s">
        <v>76</v>
      </c>
      <c r="C10" s="142" t="s">
        <v>77</v>
      </c>
      <c r="D10" s="143"/>
      <c r="E10" s="144"/>
      <c r="G10" s="145" t="s">
        <v>78</v>
      </c>
    </row>
    <row r="11" spans="1:12" ht="15.6">
      <c r="A11" s="141"/>
      <c r="B11" s="146"/>
      <c r="C11" s="79" t="s">
        <v>81</v>
      </c>
      <c r="D11" s="79" t="s">
        <v>82</v>
      </c>
      <c r="E11" s="79" t="s">
        <v>83</v>
      </c>
      <c r="F11" s="80"/>
      <c r="G11" s="146"/>
    </row>
    <row r="12" spans="1:12">
      <c r="A12" s="9" t="s">
        <v>117</v>
      </c>
      <c r="B12" s="131" t="str" cm="1">
        <f t="array" ref="B12">ad2bs(BS2AD(A12)-30)</f>
        <v>2077-12-5</v>
      </c>
      <c r="C12" s="81" cm="1">
        <f t="array" ref="C12">BSpAdj($B$12,"l")</f>
        <v>514.52547814384309</v>
      </c>
      <c r="D12" s="81" cm="1">
        <f t="array" ref="D12">BSpAdj($B$12,"m")</f>
        <v>109.27761</v>
      </c>
      <c r="E12" s="81" cm="1">
        <f t="array" ref="E12">BSpAdj($B$12,"e")</f>
        <v>113.512</v>
      </c>
      <c r="G12" s="9" t="s">
        <v>94</v>
      </c>
    </row>
    <row r="13" spans="1:12">
      <c r="A13" s="11" t="str" cm="1">
        <f t="array" ref="A13">CONCATENATE("(",BS2AD(A12)," AD)")</f>
        <v>(2021-4-17 AD)</v>
      </c>
      <c r="B13" s="11" t="str" cm="1">
        <f t="array" ref="B13">CONCATENATE("(",BS2AD(B12)," AD)")</f>
        <v>(2021-3-18 AD)</v>
      </c>
      <c r="G13" s="11" t="str" cm="1">
        <f t="array" ref="G13">CONCATENATE("(",BS2AD(G12)," AD)")</f>
        <v>(2021-5-15 AD)</v>
      </c>
      <c r="I13" s="8"/>
    </row>
    <row r="14" spans="1:12">
      <c r="A14" s="5"/>
      <c r="B14" s="11" t="str" cm="1">
        <f t="array" ref="B14">CONCATENATE("(",CONCATENATE(LEFT(BSpAdj(B12,"qtr"),5),VLOOKUP(BSpAdj(B12,"qtr"),indexTable[],2)),")")</f>
        <v>(2021.Mar/Apr)</v>
      </c>
    </row>
    <row r="15" spans="1:12">
      <c r="A15" s="140" t="s">
        <v>45</v>
      </c>
      <c r="B15" s="140"/>
      <c r="C15" s="140"/>
      <c r="D15" s="140"/>
      <c r="E15" s="140"/>
    </row>
    <row r="16" spans="1:12" ht="28.8">
      <c r="A16" s="77" t="s">
        <v>88</v>
      </c>
      <c r="B16" s="77" t="s">
        <v>51</v>
      </c>
      <c r="C16" s="77" t="s">
        <v>52</v>
      </c>
      <c r="D16" s="77" t="s">
        <v>53</v>
      </c>
      <c r="E16" s="79" t="s">
        <v>46</v>
      </c>
    </row>
    <row r="17" spans="1:12">
      <c r="A17" s="81">
        <v>0.15</v>
      </c>
      <c r="B17" s="4">
        <v>0.3</v>
      </c>
      <c r="C17" s="4">
        <v>0.4</v>
      </c>
      <c r="D17" s="4">
        <v>0.15</v>
      </c>
      <c r="E17" s="81">
        <f>SUM(A17:D17)</f>
        <v>1</v>
      </c>
    </row>
    <row r="18" spans="1:12" ht="40.5" customHeight="1">
      <c r="G18" s="133" t="s">
        <v>50</v>
      </c>
      <c r="H18" s="133"/>
      <c r="I18" s="133"/>
    </row>
    <row r="19" spans="1:12" ht="48">
      <c r="A19" s="83" t="s">
        <v>49</v>
      </c>
      <c r="B19" s="84" t="s">
        <v>91</v>
      </c>
      <c r="C19" s="84" t="s">
        <v>54</v>
      </c>
      <c r="D19" s="14" t="s">
        <v>71</v>
      </c>
      <c r="E19" s="84" t="s">
        <v>68</v>
      </c>
      <c r="F19" s="84" t="s">
        <v>72</v>
      </c>
      <c r="G19" s="79" t="s">
        <v>84</v>
      </c>
      <c r="H19" s="79" t="s">
        <v>85</v>
      </c>
      <c r="I19" s="79" t="s">
        <v>86</v>
      </c>
      <c r="J19" s="84" t="s">
        <v>87</v>
      </c>
      <c r="K19" s="78" t="s">
        <v>47</v>
      </c>
      <c r="L19" s="85" t="s">
        <v>74</v>
      </c>
    </row>
    <row r="20" spans="1:12">
      <c r="A20" s="82">
        <v>1</v>
      </c>
      <c r="B20" s="96" t="s">
        <v>118</v>
      </c>
      <c r="C20" s="86">
        <v>1000000</v>
      </c>
      <c r="D20" s="82" t="str" cm="1">
        <f t="array" ref="D20">ad2bs(BS2AD(ipcTable[[#This Row],[IPC Submission
Date]])-30)</f>
        <v>2078-4-30</v>
      </c>
      <c r="E20" s="18" t="str" cm="1">
        <f t="array" ref="E20">BS2AD(ipcTable[[#This Row],[30 days prior to IPC Submission Date]])</f>
        <v>2021-8-14</v>
      </c>
      <c r="F20" s="10" t="str" cm="1">
        <f t="array" ref="F20">CONCATENATE(LEFT(BSpAdj(ipcTable[[#This Row],[30 days prior to IPC Submission Date]],"qtr"),5),VLOOKUP(BSpAdj(ipcTable[[#This Row],[30 days prior to IPC Submission Date]],"qtr"),indexTable[],2))</f>
        <v>2021.Jul/Aug</v>
      </c>
      <c r="G20" s="81" cm="1">
        <f t="array" ref="G20">BSpAdj(ipcTable[[#This Row],[30 days prior to IPC Submission Date]],"l")</f>
        <v>523.74690026221117</v>
      </c>
      <c r="H20" s="81" cm="1">
        <f t="array" ref="H20">BSpAdj(ipcTable[[#This Row],[30 days prior to IPC Submission Date]],"m")</f>
        <v>116.11561</v>
      </c>
      <c r="I20" s="81" cm="1">
        <f t="array" ref="I20">BSpAdj(ipcTable[[#This Row],[30 days prior to IPC Submission Date]],"e")</f>
        <v>120.54096</v>
      </c>
      <c r="J20" s="87">
        <f>ROUND(a + b*ipcTable[[#This Row],[Ln]]/lo + c_*ipcTable[[#This Row],[Mn]]/mo + d*ipcTable[[#This Row],[En]]/no, 3)</f>
        <v>1.04</v>
      </c>
      <c r="K20" s="88">
        <f>ROUND((ipcTable[[#This Row],[*Price Adj.
factor]]-1) * ipcTable[[#This Row],[IPC Amount
for Price Adj.]],2)</f>
        <v>40000</v>
      </c>
      <c r="L20" s="89" t="str" cm="1">
        <f t="array" ref="L20">IF(VLOOKUP(BSpAdj(ipcTable[[#This Row],[IPC Submission
Date]],"qtr"),indexTable[],7,FALSE)="","",VLOOKUP(BSpAdj(ipcTable[[#This Row],[IPC Submission
Date]],"qtr"),indexTable[],7,FALSE))</f>
        <v/>
      </c>
    </row>
    <row r="21" spans="1:12">
      <c r="A21" s="82">
        <v>2</v>
      </c>
      <c r="B21" s="96" t="s">
        <v>119</v>
      </c>
      <c r="C21" s="86">
        <v>1000000</v>
      </c>
      <c r="D21" s="82" t="str" cm="1">
        <f t="array" ref="D21">ad2bs(BS2AD(ipcTable[[#This Row],[IPC Submission
Date]])-30)</f>
        <v>2078-7-16</v>
      </c>
      <c r="E21" s="18" t="str" cm="1">
        <f t="array" ref="E21">BS2AD(ipcTable[[#This Row],[30 days prior to IPC Submission Date]])</f>
        <v>2021-11-2</v>
      </c>
      <c r="F21" s="10" t="str" cm="1">
        <f t="array" ref="F21">CONCATENATE(LEFT(BSpAdj(ipcTable[[#This Row],[30 days prior to IPC Submission Date]],"qtr"),5),VLOOKUP(BSpAdj(ipcTable[[#This Row],[30 days prior to IPC Submission Date]],"qtr"),indexTable[],2))</f>
        <v>2021.Oct/Nov</v>
      </c>
      <c r="G21" s="81" cm="1">
        <f t="array" ref="G21">BSpAdj(ipcTable[[#This Row],[30 days prior to IPC Submission Date]],"l")</f>
        <v>524.63804289344193</v>
      </c>
      <c r="H21" s="81" cm="1">
        <f t="array" ref="H21">BSpAdj(ipcTable[[#This Row],[30 days prior to IPC Submission Date]],"m")</f>
        <v>125.55852</v>
      </c>
      <c r="I21" s="81" cm="1">
        <f t="array" ref="I21">BSpAdj(ipcTable[[#This Row],[30 days prior to IPC Submission Date]],"e")</f>
        <v>122.78874</v>
      </c>
      <c r="J21" s="87">
        <f>ROUND(a + b*ipcTable[[#This Row],[Ln]]/lo + c_*ipcTable[[#This Row],[Mn]]/mo + d*ipcTable[[#This Row],[En]]/no, 3)</f>
        <v>1.0780000000000001</v>
      </c>
      <c r="K21" s="38">
        <f>ROUND((ipcTable[[#This Row],[*Price Adj.
factor]]-1) * ipcTable[[#This Row],[IPC Amount
for Price Adj.]],2)</f>
        <v>78000</v>
      </c>
      <c r="L21" s="89" t="str" cm="1">
        <f t="array" ref="L21">IF(VLOOKUP(BSpAdj(ipcTable[[#This Row],[IPC Submission
Date]],"qtr"),indexTable[],7,FALSE)="","",VLOOKUP(BSpAdj(ipcTable[[#This Row],[IPC Submission
Date]],"qtr"),indexTable[],7,FALSE))</f>
        <v/>
      </c>
    </row>
    <row r="22" spans="1:12">
      <c r="A22" s="82">
        <v>3</v>
      </c>
      <c r="B22" s="96" t="s">
        <v>131</v>
      </c>
      <c r="C22" s="86">
        <v>1000000</v>
      </c>
      <c r="D22" s="82" t="str" cm="1">
        <f t="array" ref="D22">ad2bs(BS2AD(ipcTable[[#This Row],[IPC Submission
Date]])-30)</f>
        <v>2079-6-27</v>
      </c>
      <c r="E22" s="18" t="str" cm="1">
        <f t="array" ref="E22">BS2AD(ipcTable[[#This Row],[30 days prior to IPC Submission Date]])</f>
        <v>2022-10-13</v>
      </c>
      <c r="F22" s="10" t="str" cm="1">
        <f t="array" ref="F22">CONCATENATE(LEFT(BSpAdj(ipcTable[[#This Row],[30 days prior to IPC Submission Date]],"qtr"),5),VLOOKUP(BSpAdj(ipcTable[[#This Row],[30 days prior to IPC Submission Date]],"qtr"),indexTable[],2))</f>
        <v>2022.Sep/Oct</v>
      </c>
      <c r="G22" s="81" cm="1">
        <f t="array" ref="G22">BSpAdj(ipcTable[[#This Row],[30 days prior to IPC Submission Date]],"l")</f>
        <v>572.5602013037668</v>
      </c>
      <c r="H22" s="81" cm="1">
        <f t="array" ref="H22">BSpAdj(ipcTable[[#This Row],[30 days prior to IPC Submission Date]],"m")</f>
        <v>138.77884</v>
      </c>
      <c r="I22" s="81" cm="1">
        <f t="array" ref="I22">BSpAdj(ipcTable[[#This Row],[30 days prior to IPC Submission Date]],"e")</f>
        <v>130.10400000000001</v>
      </c>
      <c r="J22" s="87">
        <f>ROUND(a + b*ipcTable[[#This Row],[Ln]]/lo + c_*ipcTable[[#This Row],[Mn]]/mo + d*ipcTable[[#This Row],[En]]/no, 3)</f>
        <v>1.1639999999999999</v>
      </c>
      <c r="K22" s="38">
        <f>ROUND((ipcTable[[#This Row],[*Price Adj.
factor]]-1) * ipcTable[[#This Row],[IPC Amount
for Price Adj.]],2)</f>
        <v>164000</v>
      </c>
      <c r="L22" s="89" t="str" cm="1">
        <f t="array" ref="L22">IF(VLOOKUP(BSpAdj(ipcTable[[#This Row],[IPC Submission
Date]],"qtr"),indexTable[],7,FALSE)="","",VLOOKUP(BSpAdj(ipcTable[[#This Row],[IPC Submission
Date]],"qtr"),indexTable[],7,FALSE))</f>
        <v/>
      </c>
    </row>
    <row r="23" spans="1:12">
      <c r="A23" s="82">
        <v>4</v>
      </c>
      <c r="B23" s="96" t="s">
        <v>132</v>
      </c>
      <c r="C23" s="132">
        <v>1500000</v>
      </c>
      <c r="D23" s="82" t="str" cm="1">
        <f t="array" ref="D23">ad2bs(BS2AD(ipcTable[[#This Row],[IPC Submission
Date]])-30)</f>
        <v>2080-8-2</v>
      </c>
      <c r="E23" s="18" t="str" cm="1">
        <f t="array" ref="E23">BS2AD(ipcTable[[#This Row],[30 days prior to IPC Submission Date]])</f>
        <v>2023-11-18</v>
      </c>
      <c r="F23" s="10" t="str" cm="1">
        <f t="array" ref="F23">CONCATENATE(LEFT(BSpAdj(ipcTable[[#This Row],[30 days prior to IPC Submission Date]],"qtr"),5),VLOOKUP(BSpAdj(ipcTable[[#This Row],[30 days prior to IPC Submission Date]],"qtr"),indexTable[],2))</f>
        <v>2023.Nov/Dec</v>
      </c>
      <c r="G23" s="81" cm="1">
        <f t="array" ref="G23">BSpAdj(ipcTable[[#This Row],[30 days prior to IPC Submission Date]],"l")</f>
        <v>592.29047897948431</v>
      </c>
      <c r="H23" s="81" cm="1">
        <f t="array" ref="H23">BSpAdj(ipcTable[[#This Row],[30 days prior to IPC Submission Date]],"m")</f>
        <v>137.61363</v>
      </c>
      <c r="I23" s="81" cm="1">
        <f t="array" ref="I23">BSpAdj(ipcTable[[#This Row],[30 days prior to IPC Submission Date]],"e")</f>
        <v>136.22429</v>
      </c>
      <c r="J23" s="87">
        <f>ROUND(a + b*ipcTable[[#This Row],[Ln]]/lo + c_*ipcTable[[#This Row],[Mn]]/mo + d*ipcTable[[#This Row],[En]]/no, 3)</f>
        <v>1.179</v>
      </c>
      <c r="K23" s="38">
        <f>ROUND((ipcTable[[#This Row],[*Price Adj.
factor]]-1) * ipcTable[[#This Row],[IPC Amount
for Price Adj.]],2)</f>
        <v>268500</v>
      </c>
      <c r="L23" s="89" t="str" cm="1">
        <f t="array" ref="L23">IF(VLOOKUP(BSpAdj(ipcTable[[#This Row],[IPC Submission
Date]],"qtr"),indexTable[],7,FALSE)="","",VLOOKUP(BSpAdj(ipcTable[[#This Row],[IPC Submission
Date]],"qtr"),indexTable[],7,FALSE))</f>
        <v>provisional</v>
      </c>
    </row>
    <row r="24" spans="1:12">
      <c r="A24" s="6"/>
      <c r="B24" s="6"/>
      <c r="C24" s="6">
        <f>SUBTOTAL(109,ipcTable[IPC Amount
for Price Adj.])</f>
        <v>4500000</v>
      </c>
      <c r="D24" s="6"/>
      <c r="E24" s="15"/>
      <c r="F24" s="15"/>
      <c r="G24" s="6"/>
      <c r="H24" s="6"/>
      <c r="I24" s="6"/>
      <c r="J24" s="7" t="s">
        <v>46</v>
      </c>
      <c r="K24" s="16">
        <f>SUBTOTAL(109,ipcTable[Net Price Adj.
Amount])</f>
        <v>550500</v>
      </c>
      <c r="L24" s="90"/>
    </row>
    <row r="25" spans="1:12">
      <c r="A25" s="6"/>
      <c r="B25" s="6"/>
      <c r="C25" s="6"/>
      <c r="D25" s="15"/>
      <c r="E25" s="15"/>
      <c r="F25" s="6"/>
      <c r="G25" s="6"/>
      <c r="H25" s="6"/>
      <c r="I25" s="6"/>
      <c r="J25" s="23" t="s">
        <v>100</v>
      </c>
      <c r="K25" s="17">
        <v>100000</v>
      </c>
      <c r="L25" s="90"/>
    </row>
    <row r="26" spans="1:12">
      <c r="A26" s="6"/>
      <c r="B26" s="6"/>
      <c r="C26" s="6"/>
      <c r="D26" s="15"/>
      <c r="E26" s="15"/>
      <c r="F26" s="6"/>
      <c r="G26" s="6"/>
      <c r="H26" s="6"/>
      <c r="I26" s="6"/>
      <c r="J26" s="7" t="s">
        <v>101</v>
      </c>
      <c r="K26" s="6">
        <f>ipcTable[[#Totals],[Net Price Adj.
Amount]]-K25</f>
        <v>450500</v>
      </c>
      <c r="L26" s="90"/>
    </row>
    <row r="27" spans="1:12" ht="15" thickBot="1">
      <c r="A27" s="12" t="s">
        <v>69</v>
      </c>
      <c r="B27" s="12"/>
      <c r="C27" s="6"/>
      <c r="D27" s="6"/>
      <c r="E27" s="6"/>
      <c r="F27" s="6"/>
      <c r="G27" s="6"/>
      <c r="H27" s="6"/>
      <c r="I27" s="6"/>
      <c r="J27" s="19" t="s">
        <v>55</v>
      </c>
      <c r="K27" s="20">
        <f>Remaining*13%</f>
        <v>58565</v>
      </c>
    </row>
    <row r="28" spans="1:12" ht="15" thickTop="1">
      <c r="A28" s="13" t="s">
        <v>96</v>
      </c>
      <c r="B28" s="13"/>
      <c r="C28" s="6"/>
      <c r="D28" s="6"/>
      <c r="E28" s="6"/>
      <c r="F28" s="6"/>
      <c r="G28" s="6"/>
      <c r="H28" s="6"/>
      <c r="I28" s="6"/>
      <c r="J28" s="7" t="s">
        <v>56</v>
      </c>
      <c r="K28" s="6">
        <f>Remaining+VAT</f>
        <v>509065</v>
      </c>
    </row>
    <row r="29" spans="1:12">
      <c r="A29" s="13" t="s">
        <v>97</v>
      </c>
      <c r="B29" s="13"/>
      <c r="C29" s="12"/>
      <c r="D29" s="12"/>
      <c r="E29" s="12"/>
      <c r="F29" s="12"/>
      <c r="G29" s="12"/>
      <c r="H29" s="12"/>
      <c r="I29" s="12"/>
      <c r="J29" s="12"/>
    </row>
    <row r="30" spans="1:12">
      <c r="A30" s="21" t="s">
        <v>98</v>
      </c>
      <c r="C30" s="13"/>
      <c r="D30" s="13"/>
      <c r="E30" s="13"/>
      <c r="F30" s="13"/>
      <c r="G30" s="13"/>
      <c r="H30" s="13"/>
      <c r="I30" s="13"/>
      <c r="J30" s="13"/>
    </row>
    <row r="31" spans="1:12">
      <c r="C31" s="13"/>
      <c r="D31" s="13"/>
      <c r="E31" s="13"/>
      <c r="F31" s="13"/>
      <c r="G31" s="13"/>
      <c r="H31" s="13"/>
      <c r="I31" s="13"/>
      <c r="J31" s="13"/>
    </row>
    <row r="32" spans="1:12" ht="28.8">
      <c r="A32" s="22" t="s">
        <v>70</v>
      </c>
      <c r="B32" s="22"/>
    </row>
    <row r="33" spans="1:2">
      <c r="A33" s="91" t="s">
        <v>95</v>
      </c>
      <c r="B33" s="92" t="str" cm="1">
        <f t="array" aca="1" ref="B33" ca="1">CONCATENATE(LEFT(BSpAdj(presentDate,"qtr"),5),VLOOKUP(BSpAdj(presentDate,"qtr"),indexTable[],2,FALSE))</f>
        <v>2024.Mar/Apr</v>
      </c>
    </row>
  </sheetData>
  <mergeCells count="13">
    <mergeCell ref="G18:I18"/>
    <mergeCell ref="A1:L1"/>
    <mergeCell ref="A3:L3"/>
    <mergeCell ref="B5:L5"/>
    <mergeCell ref="B7:L7"/>
    <mergeCell ref="B8:L8"/>
    <mergeCell ref="A4:L4"/>
    <mergeCell ref="B6:L6"/>
    <mergeCell ref="A15:E15"/>
    <mergeCell ref="A10:A11"/>
    <mergeCell ref="C10:E10"/>
    <mergeCell ref="B10:B11"/>
    <mergeCell ref="G10:G11"/>
  </mergeCells>
  <conditionalFormatting sqref="K20:K28">
    <cfRule type="cellIs" dxfId="116" priority="2" operator="lessThan">
      <formula>0</formula>
    </cfRule>
  </conditionalFormatting>
  <printOptions horizontalCentered="1"/>
  <pageMargins left="0.25" right="0.25" top="0.5" bottom="0.5" header="0.3" footer="0.3"/>
  <pageSetup paperSize="9" scale="85" orientation="landscape" blackAndWhite="1" horizontalDpi="1200" verticalDpi="12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CA4288-D0AB-4D81-8826-FC51FB0A4381}">
  <sheetPr codeName="Sheet3">
    <outlinePr summaryBelow="0" summaryRight="0"/>
    <pageSetUpPr fitToPage="1"/>
  </sheetPr>
  <dimension ref="A1:Q36"/>
  <sheetViews>
    <sheetView topLeftCell="A20" zoomScale="90" zoomScaleNormal="90" workbookViewId="0">
      <selection activeCell="E35" sqref="E35"/>
    </sheetView>
  </sheetViews>
  <sheetFormatPr defaultColWidth="12.5546875" defaultRowHeight="15.75" customHeight="1"/>
  <cols>
    <col min="1" max="1" width="15.33203125" style="57" customWidth="1"/>
    <col min="2" max="2" width="15.5546875" style="57" customWidth="1"/>
    <col min="3" max="3" width="15.88671875" style="57" customWidth="1"/>
    <col min="4" max="4" width="11" style="57" customWidth="1"/>
    <col min="5" max="5" width="10.33203125" style="57" customWidth="1"/>
    <col min="6" max="6" width="12.5546875" style="57" bestFit="1" customWidth="1"/>
    <col min="7" max="7" width="13.6640625" style="57" customWidth="1"/>
    <col min="8" max="8" width="13.109375" style="57" customWidth="1"/>
    <col min="9" max="11" width="16.33203125" style="57" customWidth="1"/>
    <col min="12" max="14" width="6.88671875" style="57" customWidth="1"/>
    <col min="15" max="15" width="9.88671875" style="57" customWidth="1"/>
    <col min="16" max="16" width="12.5546875" style="57" customWidth="1"/>
    <col min="17" max="17" width="8.5546875" style="57" bestFit="1" customWidth="1"/>
    <col min="18" max="16384" width="12.5546875" style="57"/>
  </cols>
  <sheetData>
    <row r="1" spans="1:17" ht="14.4">
      <c r="A1" s="147"/>
      <c r="B1" s="147"/>
      <c r="C1" s="147"/>
      <c r="D1" s="147"/>
      <c r="E1" s="147"/>
      <c r="F1" s="147"/>
      <c r="G1" s="147"/>
      <c r="H1" s="147"/>
      <c r="I1" s="147"/>
      <c r="J1" s="147"/>
      <c r="K1" s="147"/>
      <c r="L1" s="147"/>
      <c r="M1" s="24"/>
      <c r="N1" s="24"/>
      <c r="O1" s="25"/>
      <c r="P1" s="25"/>
      <c r="Q1" s="25"/>
    </row>
    <row r="2" spans="1:17" ht="14.4">
      <c r="A2" s="58"/>
      <c r="B2" s="58"/>
      <c r="C2" s="58"/>
      <c r="D2" s="58"/>
      <c r="E2" s="58"/>
      <c r="F2" s="58"/>
      <c r="G2" s="58"/>
      <c r="H2" s="58"/>
      <c r="I2" s="58"/>
      <c r="J2" s="58"/>
      <c r="K2" s="58"/>
      <c r="L2" s="58"/>
      <c r="M2" s="25"/>
      <c r="N2" s="25"/>
      <c r="O2" s="25"/>
      <c r="P2" s="25"/>
      <c r="Q2" s="25"/>
    </row>
    <row r="3" spans="1:17" ht="23.4">
      <c r="A3" s="160" t="s">
        <v>67</v>
      </c>
      <c r="B3" s="160"/>
      <c r="C3" s="160"/>
      <c r="D3" s="160"/>
      <c r="E3" s="160"/>
      <c r="F3" s="160"/>
      <c r="G3" s="160"/>
      <c r="H3" s="160"/>
      <c r="I3" s="160"/>
      <c r="J3" s="160"/>
      <c r="K3" s="160"/>
      <c r="L3" s="160"/>
      <c r="M3" s="160"/>
      <c r="N3" s="160"/>
      <c r="O3" s="160"/>
      <c r="P3" s="160"/>
      <c r="Q3" s="160"/>
    </row>
    <row r="4" spans="1:17" ht="18">
      <c r="A4" s="161" t="s">
        <v>99</v>
      </c>
      <c r="B4" s="161"/>
      <c r="C4" s="161"/>
      <c r="D4" s="161"/>
      <c r="E4" s="161"/>
      <c r="F4" s="161"/>
      <c r="G4" s="161"/>
      <c r="H4" s="161"/>
      <c r="I4" s="161"/>
      <c r="J4" s="161"/>
      <c r="K4" s="161"/>
      <c r="L4" s="161"/>
      <c r="M4" s="161"/>
      <c r="N4" s="161"/>
      <c r="O4" s="161"/>
      <c r="P4" s="161"/>
      <c r="Q4" s="161"/>
    </row>
    <row r="5" spans="1:17" ht="14.4">
      <c r="A5" s="58" t="s">
        <v>89</v>
      </c>
      <c r="B5" s="162"/>
      <c r="C5" s="162"/>
      <c r="D5" s="162"/>
      <c r="E5" s="162"/>
      <c r="F5" s="162"/>
      <c r="G5" s="162"/>
      <c r="H5" s="162"/>
      <c r="I5" s="162"/>
      <c r="J5" s="162"/>
      <c r="K5" s="162"/>
      <c r="L5" s="162"/>
      <c r="M5" s="162"/>
      <c r="N5" s="162"/>
      <c r="O5" s="162"/>
      <c r="P5" s="162"/>
      <c r="Q5" s="162"/>
    </row>
    <row r="6" spans="1:17" ht="14.4">
      <c r="A6" s="58" t="s">
        <v>66</v>
      </c>
      <c r="B6" s="163"/>
      <c r="C6" s="163"/>
      <c r="D6" s="163"/>
      <c r="E6" s="163"/>
      <c r="F6" s="163"/>
      <c r="G6" s="163"/>
      <c r="H6" s="163"/>
      <c r="I6" s="163"/>
      <c r="J6" s="163"/>
      <c r="K6" s="163"/>
      <c r="L6" s="163"/>
      <c r="M6" s="163"/>
      <c r="N6" s="163"/>
      <c r="O6" s="163"/>
      <c r="P6" s="163"/>
      <c r="Q6" s="163"/>
    </row>
    <row r="7" spans="1:17" ht="14.4">
      <c r="A7" s="58" t="s">
        <v>44</v>
      </c>
      <c r="B7" s="163"/>
      <c r="C7" s="163"/>
      <c r="D7" s="163"/>
      <c r="E7" s="163"/>
      <c r="F7" s="163"/>
      <c r="G7" s="163"/>
      <c r="H7" s="163"/>
      <c r="I7" s="163"/>
      <c r="J7" s="163"/>
      <c r="K7" s="163"/>
      <c r="L7" s="163"/>
      <c r="M7" s="163"/>
      <c r="N7" s="163"/>
      <c r="O7" s="163"/>
      <c r="P7" s="163"/>
      <c r="Q7" s="163"/>
    </row>
    <row r="8" spans="1:17" ht="30.75" customHeight="1">
      <c r="A8" s="59" t="s">
        <v>43</v>
      </c>
      <c r="B8" s="163"/>
      <c r="C8" s="163"/>
      <c r="D8" s="163"/>
      <c r="E8" s="163"/>
      <c r="F8" s="163"/>
      <c r="G8" s="163"/>
      <c r="H8" s="163"/>
      <c r="I8" s="163"/>
      <c r="J8" s="163"/>
      <c r="K8" s="163"/>
      <c r="L8" s="163"/>
      <c r="M8" s="163"/>
      <c r="N8" s="163"/>
      <c r="O8" s="163"/>
      <c r="P8" s="163"/>
      <c r="Q8" s="163"/>
    </row>
    <row r="9" spans="1:17" ht="14.4">
      <c r="A9" s="25"/>
      <c r="B9" s="56"/>
      <c r="C9" s="56"/>
      <c r="D9" s="56"/>
      <c r="E9" s="56"/>
      <c r="F9" s="56"/>
      <c r="G9" s="56"/>
      <c r="H9" s="56"/>
      <c r="I9" s="56"/>
      <c r="J9" s="56"/>
      <c r="K9" s="56"/>
      <c r="L9" s="56"/>
      <c r="M9" s="56"/>
      <c r="N9" s="56"/>
      <c r="O9" s="25"/>
      <c r="P9" s="25"/>
      <c r="Q9" s="25"/>
    </row>
    <row r="10" spans="1:17" ht="14.4">
      <c r="A10" s="151" t="s">
        <v>92</v>
      </c>
      <c r="B10" s="152" t="s">
        <v>76</v>
      </c>
      <c r="C10" s="154" t="s">
        <v>77</v>
      </c>
      <c r="D10" s="155"/>
      <c r="E10" s="156"/>
      <c r="F10" s="58"/>
      <c r="G10" s="148" t="s">
        <v>78</v>
      </c>
      <c r="H10" s="25"/>
      <c r="I10" s="25"/>
      <c r="J10" s="25"/>
      <c r="K10" s="25"/>
      <c r="L10" s="25"/>
      <c r="M10" s="25"/>
      <c r="N10" s="25"/>
      <c r="O10" s="25"/>
      <c r="P10" s="25"/>
      <c r="Q10" s="25"/>
    </row>
    <row r="11" spans="1:17" ht="26.25" customHeight="1">
      <c r="A11" s="151"/>
      <c r="B11" s="153"/>
      <c r="C11" s="61" t="s">
        <v>124</v>
      </c>
      <c r="D11" s="61" t="s">
        <v>125</v>
      </c>
      <c r="E11" s="61" t="s">
        <v>126</v>
      </c>
      <c r="F11" s="62"/>
      <c r="G11" s="149"/>
      <c r="H11" s="25"/>
      <c r="I11" s="25"/>
      <c r="J11" s="25"/>
      <c r="K11" s="25"/>
      <c r="L11" s="25"/>
      <c r="M11" s="25"/>
      <c r="N11" s="25"/>
      <c r="O11" s="25"/>
      <c r="P11" s="25"/>
      <c r="Q11" s="25"/>
    </row>
    <row r="12" spans="1:17" ht="14.4">
      <c r="A12" s="63" t="s">
        <v>117</v>
      </c>
      <c r="B12" s="130" t="str" cm="1">
        <f t="array" ref="B12">ad2bs(BS2AD(A12)-30)</f>
        <v>2077-12-5</v>
      </c>
      <c r="C12" s="64" cm="1">
        <f t="array" ref="C12">BSpAdj($B$12,"l")</f>
        <v>514.52547814384309</v>
      </c>
      <c r="D12" s="64" cm="1">
        <f t="array" ref="D12">BSpAdj($B$12,"m")</f>
        <v>109.27761</v>
      </c>
      <c r="E12" s="64" cm="1">
        <f t="array" ref="E12">BSpAdj($B$12,"e")</f>
        <v>113.512</v>
      </c>
      <c r="F12" s="58"/>
      <c r="G12" s="63" t="s">
        <v>94</v>
      </c>
      <c r="H12" s="25"/>
      <c r="I12" s="25"/>
      <c r="J12" s="25"/>
      <c r="K12" s="25"/>
      <c r="L12" s="25"/>
      <c r="M12" s="25"/>
      <c r="N12" s="25"/>
      <c r="O12" s="25"/>
      <c r="P12" s="25"/>
      <c r="Q12" s="25"/>
    </row>
    <row r="13" spans="1:17" ht="14.4">
      <c r="A13" s="65" t="str" cm="1">
        <f t="array" ref="A13">CONCATENATE("(",BS2AD(A12)," AD)")</f>
        <v>(2021-4-17 AD)</v>
      </c>
      <c r="B13" s="65" t="str" cm="1">
        <f t="array" ref="B13">CONCATENATE("(",BS2AD(B12)," AD)")</f>
        <v>(2021-3-18 AD)</v>
      </c>
      <c r="C13" s="58"/>
      <c r="D13" s="58"/>
      <c r="E13" s="58"/>
      <c r="F13" s="58"/>
      <c r="G13" s="65" t="str" cm="1">
        <f t="array" ref="G13">CONCATENATE("(",BS2AD(G12)," AD)")</f>
        <v>(2021-5-15 AD)</v>
      </c>
      <c r="H13" s="25"/>
      <c r="I13" s="25"/>
      <c r="J13" s="25"/>
      <c r="K13" s="25"/>
      <c r="L13" s="25"/>
      <c r="M13" s="25"/>
      <c r="N13" s="25"/>
      <c r="O13" s="25"/>
      <c r="P13" s="25"/>
      <c r="Q13" s="25"/>
    </row>
    <row r="14" spans="1:17" ht="14.4">
      <c r="A14" s="66"/>
      <c r="B14" s="65" t="str" cm="1">
        <f t="array" ref="B14">CONCATENATE("(",CONCATENATE(LEFT(BSpAdj(B12,"qtr"),5),VLOOKUP(BSpAdj(B12,"qtr"),indexTable[],2)),")")</f>
        <v>(2021.Mar/Apr)</v>
      </c>
      <c r="C14" s="58"/>
      <c r="D14" s="58"/>
      <c r="E14" s="58"/>
      <c r="F14" s="58"/>
      <c r="G14" s="58"/>
      <c r="I14" s="26"/>
      <c r="J14" s="25"/>
      <c r="K14" s="25"/>
      <c r="L14" s="25"/>
      <c r="M14" s="25"/>
      <c r="N14" s="25"/>
      <c r="O14" s="25"/>
      <c r="P14" s="25"/>
      <c r="Q14" s="25"/>
    </row>
    <row r="15" spans="1:17" ht="14.4">
      <c r="A15" s="150" t="s">
        <v>45</v>
      </c>
      <c r="B15" s="150"/>
      <c r="C15" s="150"/>
      <c r="D15" s="150"/>
      <c r="E15" s="150"/>
      <c r="F15" s="58"/>
      <c r="G15" s="58"/>
      <c r="H15" s="27"/>
      <c r="I15" s="25"/>
      <c r="J15" s="25"/>
      <c r="K15" s="25"/>
      <c r="L15" s="25"/>
      <c r="M15" s="25"/>
      <c r="N15" s="25"/>
      <c r="O15" s="25"/>
      <c r="P15" s="25"/>
      <c r="Q15" s="25"/>
    </row>
    <row r="16" spans="1:17" ht="28.8">
      <c r="A16" s="60" t="s">
        <v>88</v>
      </c>
      <c r="B16" s="60" t="s">
        <v>51</v>
      </c>
      <c r="C16" s="60" t="s">
        <v>52</v>
      </c>
      <c r="D16" s="60" t="s">
        <v>53</v>
      </c>
      <c r="E16" s="61" t="s">
        <v>46</v>
      </c>
      <c r="F16" s="58"/>
      <c r="G16" s="58"/>
      <c r="H16" s="25"/>
      <c r="I16" s="25"/>
      <c r="J16" s="25"/>
      <c r="K16" s="25"/>
      <c r="L16" s="25"/>
      <c r="M16" s="25"/>
      <c r="N16" s="25"/>
      <c r="O16" s="25"/>
      <c r="P16" s="25"/>
      <c r="Q16" s="25"/>
    </row>
    <row r="17" spans="1:17" ht="14.4">
      <c r="A17" s="64">
        <v>0.15</v>
      </c>
      <c r="B17" s="67">
        <v>0.3</v>
      </c>
      <c r="C17" s="67">
        <v>0.4</v>
      </c>
      <c r="D17" s="67">
        <v>0.15</v>
      </c>
      <c r="E17" s="64">
        <f>SUM(A17:D17)</f>
        <v>1</v>
      </c>
      <c r="F17" s="58"/>
      <c r="G17" s="58"/>
      <c r="H17" s="25"/>
      <c r="I17" s="25"/>
      <c r="J17" s="25"/>
      <c r="K17" s="25"/>
      <c r="L17" s="25"/>
      <c r="M17" s="25"/>
      <c r="N17" s="25"/>
      <c r="O17" s="25"/>
      <c r="P17" s="25"/>
      <c r="Q17" s="25"/>
    </row>
    <row r="18" spans="1:17" s="58" customFormat="1" ht="14.4"/>
    <row r="19" spans="1:17" ht="14.4">
      <c r="A19" s="25"/>
      <c r="B19" s="25"/>
      <c r="C19" s="25"/>
      <c r="D19" s="25"/>
      <c r="E19" s="25"/>
      <c r="I19" s="157" t="s">
        <v>104</v>
      </c>
      <c r="J19" s="158"/>
      <c r="K19" s="159"/>
      <c r="L19" s="157" t="s">
        <v>105</v>
      </c>
      <c r="M19" s="158"/>
      <c r="N19" s="159"/>
      <c r="O19" s="25"/>
      <c r="P19" s="25"/>
      <c r="Q19" s="25"/>
    </row>
    <row r="20" spans="1:17" ht="48">
      <c r="A20" s="42" t="s">
        <v>49</v>
      </c>
      <c r="B20" s="43" t="s">
        <v>106</v>
      </c>
      <c r="C20" s="43" t="s">
        <v>107</v>
      </c>
      <c r="D20" s="44" t="s">
        <v>71</v>
      </c>
      <c r="E20" s="44" t="s">
        <v>68</v>
      </c>
      <c r="F20" s="44" t="s">
        <v>108</v>
      </c>
      <c r="G20" s="44" t="s">
        <v>109</v>
      </c>
      <c r="H20" s="43" t="s">
        <v>110</v>
      </c>
      <c r="I20" s="43" t="s">
        <v>121</v>
      </c>
      <c r="J20" s="43" t="s">
        <v>122</v>
      </c>
      <c r="K20" s="43" t="s">
        <v>130</v>
      </c>
      <c r="L20" s="43" t="s">
        <v>111</v>
      </c>
      <c r="M20" s="43" t="s">
        <v>112</v>
      </c>
      <c r="N20" s="43" t="s">
        <v>113</v>
      </c>
      <c r="O20" s="43" t="s">
        <v>114</v>
      </c>
      <c r="P20" s="43" t="s">
        <v>115</v>
      </c>
      <c r="Q20" s="45" t="s">
        <v>74</v>
      </c>
    </row>
    <row r="21" spans="1:17" ht="43.2">
      <c r="A21" s="41">
        <v>1</v>
      </c>
      <c r="B21" s="68" t="s">
        <v>118</v>
      </c>
      <c r="C21" s="69">
        <v>1000000</v>
      </c>
      <c r="D21" s="61" t="str" cm="1">
        <f t="array" ref="D21">ad2bs(BS2AD(Table3[[#This Row],[IPC Submission
 Date]])-30)</f>
        <v>2078-4-30</v>
      </c>
      <c r="E21" s="107" t="str" cm="1">
        <f t="array" ref="E21">BS2AD(Table3[[#This Row],[30 days prior to IPC Submission Date]])</f>
        <v>2021-8-14</v>
      </c>
      <c r="F21" s="105">
        <v>44333</v>
      </c>
      <c r="G21" s="105">
        <v>44422</v>
      </c>
      <c r="H21" s="39" t="str" cm="1">
        <f t="array" ref="H21">CONCATENATE(LEFT(padj(Table3[[#This Row],[Start Date related to pAdj]],"qtr"),5),VLOOKUP(padj(Table3[[#This Row],[Start Date related to pAdj]],"qtr"),indexTable[],2))&amp;" to "&amp;CONCATENATE(LEFT(padj(Table3[[#This Row],[End Date related to pAdj]],"qtr"),5),VLOOKUP(padj(Table3[[#This Row],[End Date related to pAdj]],"qtr"),indexTable[],2))</f>
        <v>2021.May/Jun to 2021.Jul/Aug</v>
      </c>
      <c r="I21" s="40" t="str" cm="1">
        <f t="array" ref="I21">pAdjAvg($F21,$G21,"l","list")</f>
        <v>515.85, 521.97, 523.75</v>
      </c>
      <c r="J21" s="40" t="str" cm="1">
        <f t="array" ref="J21">pAdjAvg($F21,$G21,"m","list")</f>
        <v>111.90, 114.14, 116.12</v>
      </c>
      <c r="K21" s="40" t="str" cm="1">
        <f t="array" ref="K21">pAdjAvg($F21,$G21,"e","list")</f>
        <v>113.69, 113.69, 120.54</v>
      </c>
      <c r="L21" s="40" cm="1">
        <f t="array" ref="L21">pAdjAvg($F21,$G21,"l","avg")</f>
        <v>520.51974831603354</v>
      </c>
      <c r="M21" s="40" cm="1">
        <f t="array" ref="M21">pAdjAvg($F21,$G21,"m","avg")</f>
        <v>114.05016666666667</v>
      </c>
      <c r="N21" s="40" cm="1">
        <f t="array" ref="N21">pAdjAvg($F21,$G21,"e","avg")</f>
        <v>115.97196666666667</v>
      </c>
      <c r="O21" s="46">
        <f>ROUND($A$17 + $B$17*Table3[[#This Row],[Ln]]/$C$12 + $C$17*Table3[[#This Row],[Mn]]/$D$12 + $D$17*Table3[[#This Row],[En]]/$E$12, 3)</f>
        <v>1.024</v>
      </c>
      <c r="P21" s="47">
        <f>C21*(O21-1)</f>
        <v>24000.000000000022</v>
      </c>
      <c r="Q21" s="48"/>
    </row>
    <row r="22" spans="1:17" ht="43.2">
      <c r="A22" s="41">
        <v>2</v>
      </c>
      <c r="B22" s="68" t="s">
        <v>119</v>
      </c>
      <c r="C22" s="69">
        <v>1000000</v>
      </c>
      <c r="D22" s="61" t="str" cm="1">
        <f t="array" ref="D22">ad2bs(BS2AD(Table3[[#This Row],[IPC Submission
 Date]])-30)</f>
        <v>2078-7-16</v>
      </c>
      <c r="E22" s="107" t="str" cm="1">
        <f t="array" ref="E22">BS2AD(Table3[[#This Row],[30 days prior to IPC Submission Date]])</f>
        <v>2021-11-2</v>
      </c>
      <c r="F22" s="105">
        <v>44423</v>
      </c>
      <c r="G22" s="105">
        <v>44502</v>
      </c>
      <c r="H22" s="39" t="str" cm="1">
        <f t="array" ref="H22">CONCATENATE(LEFT(padj(Table3[[#This Row],[Start Date related to pAdj]],"qtr"),5),VLOOKUP(padj(Table3[[#This Row],[Start Date related to pAdj]],"qtr"),indexTable[],2))&amp;" to "&amp;CONCATENATE(LEFT(padj(Table3[[#This Row],[End Date related to pAdj]],"qtr"),5),VLOOKUP(padj(Table3[[#This Row],[End Date related to pAdj]],"qtr"),indexTable[],2))</f>
        <v>2021.Jul/Aug to 2021.Oct/Nov</v>
      </c>
      <c r="I22" s="40" t="str" cm="1">
        <f t="array" ref="I22">pAdjAvg($F22,$G22,"l","list")</f>
        <v>523.75, 523.75, 523.75, 524.64</v>
      </c>
      <c r="J22" s="40" t="str" cm="1">
        <f t="array" ref="J22">pAdjAvg($F22,$G22,"m","list")</f>
        <v>116.12, 116.21, 116.36, 125.56</v>
      </c>
      <c r="K22" s="40" t="str" cm="1">
        <f t="array" ref="K22">pAdjAvg($F22,$G22,"e","list")</f>
        <v>120.54, 120.54, 120.54, 122.79</v>
      </c>
      <c r="L22" s="40" cm="1">
        <f t="array" ref="L22">pAdjAvg($F22,$G22,"l","avg")</f>
        <v>523.96968592001895</v>
      </c>
      <c r="M22" s="40" cm="1">
        <f t="array" ref="M22">pAdjAvg($F22,$G22,"m","avg")</f>
        <v>118.5598325</v>
      </c>
      <c r="N22" s="40" cm="1">
        <f t="array" ref="N22">pAdjAvg($F22,$G22,"e","avg")</f>
        <v>121.10290500000001</v>
      </c>
      <c r="O22" s="46">
        <f>ROUND($A$17 + $B$17*Table3[[#This Row],[Ln]]/$C$12 + $C$17*Table3[[#This Row],[Mn]]/$D$12 + $D$17*Table3[[#This Row],[En]]/$E$12, 3)</f>
        <v>1.05</v>
      </c>
      <c r="P22" s="47">
        <f>C22*(O22-1)</f>
        <v>50000.000000000044</v>
      </c>
      <c r="Q22" s="48"/>
    </row>
    <row r="23" spans="1:17" ht="43.2">
      <c r="A23" s="49">
        <v>3</v>
      </c>
      <c r="B23" s="70" t="s">
        <v>120</v>
      </c>
      <c r="C23" s="71">
        <v>1000000</v>
      </c>
      <c r="D23" s="108" t="str" cm="1">
        <f t="array" ref="D23">ad2bs(BS2AD(Table3[[#This Row],[IPC Submission
 Date]])-30)</f>
        <v>2078-9-26</v>
      </c>
      <c r="E23" s="109" t="str" cm="1">
        <f t="array" ref="E23">BS2AD(Table3[[#This Row],[30 days prior to IPC Submission Date]])</f>
        <v>2022-1-10</v>
      </c>
      <c r="F23" s="106">
        <v>44503</v>
      </c>
      <c r="G23" s="106">
        <v>44571</v>
      </c>
      <c r="H23" s="50" t="str" cm="1">
        <f t="array" ref="H23">CONCATENATE(LEFT(padj(Table3[[#This Row],[Start Date related to pAdj]],"qtr"),5),VLOOKUP(padj(Table3[[#This Row],[Start Date related to pAdj]],"qtr"),indexTable[],2))&amp;" to "&amp;CONCATENATE(LEFT(padj(Table3[[#This Row],[End Date related to pAdj]],"qtr"),5),VLOOKUP(padj(Table3[[#This Row],[End Date related to pAdj]],"qtr"),indexTable[],2))</f>
        <v>2021.Oct/Nov to 2022.Dec/Jan</v>
      </c>
      <c r="I23" s="51" t="str" cm="1">
        <f t="array" ref="I23">pAdjAvg($F23,$G23,"l","list")</f>
        <v>524.64, 526.89, 526.89</v>
      </c>
      <c r="J23" s="51" t="str" cm="1">
        <f t="array" ref="J23">pAdjAvg($F23,$G23,"m","list")</f>
        <v>125.56, 125.35, 125.88</v>
      </c>
      <c r="K23" s="51" t="str" cm="1">
        <f t="array" ref="K23">pAdjAvg($F23,$G23,"e","list")</f>
        <v>122.79, 122.79, 122.79</v>
      </c>
      <c r="L23" s="51" cm="1">
        <f t="array" ref="L23">pAdjAvg($F23,$G23,"l","avg")</f>
        <v>526.14251003667562</v>
      </c>
      <c r="M23" s="51" cm="1">
        <f t="array" ref="M23">pAdjAvg($F23,$G23,"m","avg")</f>
        <v>125.59500666666666</v>
      </c>
      <c r="N23" s="51" cm="1">
        <f t="array" ref="N23">pAdjAvg($F23,$G23,"e","avg")</f>
        <v>122.78874</v>
      </c>
      <c r="O23" s="52">
        <f>ROUND($A$17 + $B$17*Table3[[#This Row],[Ln]]/$C$12 + $C$17*Table3[[#This Row],[Mn]]/$D$12 + $D$17*Table3[[#This Row],[En]]/$E$12, 3)</f>
        <v>1.079</v>
      </c>
      <c r="P23" s="53">
        <f>C23*(O23-1)</f>
        <v>78999.999999999956</v>
      </c>
      <c r="Q23" s="54"/>
    </row>
    <row r="24" spans="1:17" ht="59.25" customHeight="1">
      <c r="A24" s="41">
        <v>4</v>
      </c>
      <c r="B24" s="68" t="s">
        <v>127</v>
      </c>
      <c r="C24" s="93">
        <v>1500000</v>
      </c>
      <c r="D24" s="94" t="str" cm="1">
        <f t="array" ref="D24">ad2bs(BS2AD(Table3[[#This Row],[IPC Submission
 Date]])-30)</f>
        <v>2079-3-4</v>
      </c>
      <c r="E24" s="95" t="str" cm="1">
        <f t="array" ref="E24">BS2AD(Table3[[#This Row],[30 days prior to IPC Submission Date]])</f>
        <v>2022-6-18</v>
      </c>
      <c r="F24" s="105">
        <v>44572</v>
      </c>
      <c r="G24" s="68" t="s">
        <v>128</v>
      </c>
      <c r="H24" s="39" t="str" cm="1">
        <f t="array" ref="H24">CONCATENATE(LEFT(padj(Table3[[#This Row],[Start Date related to pAdj]],"qtr"),5),VLOOKUP(padj(Table3[[#This Row],[Start Date related to pAdj]],"qtr"),indexTable[],2))&amp;" to "&amp;CONCATENATE(LEFT(padj(Table3[[#This Row],[End Date related to pAdj]],"qtr"),5),VLOOKUP(padj(Table3[[#This Row],[End Date related to pAdj]],"qtr"),indexTable[],2))</f>
        <v>2022.Dec/Jan to 2022.Jun/Jul</v>
      </c>
      <c r="I24" s="40" t="str" cm="1">
        <f t="array" ref="I24">pAdjAvg($F24,$G24,"l","list")</f>
        <v>526.89, 526.89, 533.10, 541.77, 541.82, 541.82, 550.44</v>
      </c>
      <c r="J24" s="40" t="str" cm="1">
        <f t="array" ref="J24">pAdjAvg($F24,$G24,"m","list")</f>
        <v>125.88, 127.54, 134.44, 136.84, 141.31, 140.15, 137.81</v>
      </c>
      <c r="K24" s="40" t="str" cm="1">
        <f t="array" ref="K24">pAdjAvg($F24,$G24,"e","list")</f>
        <v>122.79, 122.93, 122.93, 122.93, 124.47, 124.47, 124.47</v>
      </c>
      <c r="L24" s="40" cm="1">
        <f t="array" ref="L24">pAdjAvg($F24,$G24,"l","avg")</f>
        <v>537.53396290739511</v>
      </c>
      <c r="M24" s="40" cm="1">
        <f t="array" ref="M24">pAdjAvg($F24,$G24,"m","avg")</f>
        <v>134.8510834285714</v>
      </c>
      <c r="N24" s="40" cm="1">
        <f t="array" ref="N24">pAdjAvg($F24,$G24,"e","avg")</f>
        <v>123.569766</v>
      </c>
      <c r="O24" s="46">
        <f>ROUND($A$17 + $B$17*Table3[[#This Row],[Ln]]/$C$12 + $C$17*Table3[[#This Row],[Mn]]/$D$12 + $D$17*Table3[[#This Row],[En]]/$E$12, 3)</f>
        <v>1.1200000000000001</v>
      </c>
      <c r="P24" s="47">
        <f>C24*(O24-1)</f>
        <v>180000.00000000015</v>
      </c>
      <c r="Q24" s="48"/>
    </row>
    <row r="25" spans="1:17" ht="14.4">
      <c r="A25" s="97"/>
      <c r="B25" s="72"/>
      <c r="C25" s="98">
        <f>SUBTOTAL(109,Table3[IPC Amount
 for Price Adj.])</f>
        <v>4500000</v>
      </c>
      <c r="D25" s="55"/>
      <c r="E25" s="72"/>
      <c r="F25" s="99"/>
      <c r="G25" s="99"/>
      <c r="H25" s="100"/>
      <c r="I25" s="101"/>
      <c r="J25" s="101"/>
      <c r="K25" s="101"/>
      <c r="L25" s="101"/>
      <c r="M25" s="101"/>
      <c r="N25" s="101"/>
      <c r="O25" s="104" t="s">
        <v>46</v>
      </c>
      <c r="P25" s="102">
        <f>SUBTOTAL(109,Table3[Net Price Adj.
 Amount])</f>
        <v>333000.00000000012</v>
      </c>
      <c r="Q25" s="103"/>
    </row>
    <row r="26" spans="1:17" ht="14.4">
      <c r="A26" s="27"/>
      <c r="B26" s="28"/>
      <c r="C26" s="28"/>
      <c r="D26" s="28"/>
      <c r="E26" s="28"/>
      <c r="F26" s="28"/>
      <c r="G26" s="29"/>
      <c r="H26" s="28"/>
      <c r="I26" s="28"/>
      <c r="J26" s="28"/>
      <c r="K26" s="28"/>
      <c r="L26" s="28"/>
      <c r="M26" s="28"/>
      <c r="N26" s="28"/>
      <c r="O26" s="30" t="s">
        <v>100</v>
      </c>
      <c r="P26" s="31">
        <v>100000</v>
      </c>
      <c r="Q26" s="28"/>
    </row>
    <row r="27" spans="1:17" ht="14.4">
      <c r="A27" s="28"/>
      <c r="B27" s="28"/>
      <c r="C27" s="28"/>
      <c r="D27" s="28"/>
      <c r="E27" s="28"/>
      <c r="F27" s="28"/>
      <c r="G27" s="29"/>
      <c r="H27" s="28"/>
      <c r="I27" s="28"/>
      <c r="J27" s="28"/>
      <c r="K27" s="28"/>
      <c r="L27" s="28"/>
      <c r="M27" s="28"/>
      <c r="N27" s="28"/>
      <c r="O27" s="32" t="s">
        <v>101</v>
      </c>
      <c r="P27" s="33">
        <f>Table3[[#Totals],[Net Price Adj.
 Amount]]-P26</f>
        <v>233000.00000000012</v>
      </c>
      <c r="Q27" s="28"/>
    </row>
    <row r="28" spans="1:17" ht="15" thickBot="1">
      <c r="A28" s="34" t="s">
        <v>69</v>
      </c>
      <c r="B28" s="34"/>
      <c r="C28" s="28"/>
      <c r="D28" s="28"/>
      <c r="E28" s="28"/>
      <c r="F28" s="28"/>
      <c r="G28" s="73"/>
      <c r="H28" s="58"/>
      <c r="I28" s="58"/>
      <c r="J28" s="28"/>
      <c r="K28" s="28"/>
      <c r="L28" s="28"/>
      <c r="M28" s="28"/>
      <c r="N28" s="28"/>
      <c r="O28" s="35" t="s">
        <v>55</v>
      </c>
      <c r="P28" s="36">
        <f>P27*13%</f>
        <v>30290.000000000015</v>
      </c>
      <c r="Q28" s="25"/>
    </row>
    <row r="29" spans="1:17" ht="15" thickTop="1">
      <c r="A29" s="37" t="s">
        <v>96</v>
      </c>
      <c r="B29" s="37"/>
      <c r="C29" s="37"/>
      <c r="D29" s="37"/>
      <c r="E29" s="37"/>
      <c r="F29" s="37"/>
      <c r="G29" s="73"/>
      <c r="H29" s="58"/>
      <c r="I29" s="58"/>
      <c r="J29" s="28"/>
      <c r="K29" s="28"/>
      <c r="L29" s="28"/>
      <c r="M29" s="28"/>
      <c r="N29" s="28"/>
      <c r="O29" s="32" t="s">
        <v>56</v>
      </c>
      <c r="P29" s="33">
        <f>P27+P28</f>
        <v>263290.00000000012</v>
      </c>
      <c r="Q29" s="25"/>
    </row>
    <row r="30" spans="1:17" ht="14.4">
      <c r="A30" s="74" t="s">
        <v>116</v>
      </c>
      <c r="B30" s="74"/>
      <c r="C30" s="74"/>
      <c r="D30" s="74"/>
      <c r="E30" s="74"/>
      <c r="F30" s="34"/>
      <c r="G30" s="75"/>
      <c r="H30" s="58"/>
      <c r="I30" s="58"/>
      <c r="J30" s="34"/>
      <c r="K30" s="25"/>
      <c r="L30" s="25"/>
      <c r="M30" s="25"/>
      <c r="N30" s="25"/>
      <c r="O30" s="25"/>
      <c r="P30" s="25"/>
      <c r="Q30" s="25"/>
    </row>
    <row r="31" spans="1:17" ht="14.4">
      <c r="A31" s="74" t="s">
        <v>98</v>
      </c>
      <c r="B31" s="74"/>
      <c r="C31" s="74"/>
      <c r="D31" s="74"/>
      <c r="E31" s="74"/>
      <c r="F31" s="37"/>
      <c r="G31" s="75"/>
      <c r="H31" s="58"/>
      <c r="I31" s="58"/>
      <c r="J31" s="37"/>
      <c r="K31" s="25"/>
      <c r="L31" s="25"/>
      <c r="M31" s="25"/>
      <c r="N31" s="25"/>
      <c r="O31" s="25"/>
      <c r="P31" s="25"/>
      <c r="Q31" s="25"/>
    </row>
    <row r="35" spans="1:2" ht="28.8">
      <c r="A35" s="110" t="s">
        <v>70</v>
      </c>
      <c r="B35" s="110"/>
    </row>
    <row r="36" spans="1:2" ht="14.4">
      <c r="A36" s="91" t="s">
        <v>95</v>
      </c>
      <c r="B36" s="92" t="str" cm="1">
        <f t="array" aca="1" ref="B36" ca="1">CONCATENATE(LEFT(BSpAdj(presentDate,"qtr"),5),VLOOKUP(BSpAdj(presentDate,"qtr"),indexTable[],2,FALSE))</f>
        <v>2024.Mar/Apr</v>
      </c>
    </row>
  </sheetData>
  <mergeCells count="14">
    <mergeCell ref="L19:N19"/>
    <mergeCell ref="I19:K19"/>
    <mergeCell ref="A3:Q3"/>
    <mergeCell ref="A4:Q4"/>
    <mergeCell ref="B5:Q5"/>
    <mergeCell ref="B6:Q6"/>
    <mergeCell ref="B7:Q7"/>
    <mergeCell ref="B8:Q8"/>
    <mergeCell ref="A1:L1"/>
    <mergeCell ref="G10:G11"/>
    <mergeCell ref="A15:E15"/>
    <mergeCell ref="A10:A11"/>
    <mergeCell ref="B10:B11"/>
    <mergeCell ref="C10:E10"/>
  </mergeCells>
  <phoneticPr fontId="38" type="noConversion"/>
  <printOptions horizontalCentered="1"/>
  <pageMargins left="0.25" right="0.25" top="0.75" bottom="0.75" header="0.3" footer="0.3"/>
  <pageSetup paperSize="9" scale="69" pageOrder="overThenDown" orientation="landscape" blackAndWhite="1" cellComments="atEnd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pageSetUpPr fitToPage="1"/>
  </sheetPr>
  <dimension ref="A1:H9"/>
  <sheetViews>
    <sheetView showGridLines="0" zoomScale="90" zoomScaleNormal="90" zoomScaleSheetLayoutView="100" workbookViewId="0">
      <selection activeCell="B16" sqref="B16"/>
    </sheetView>
  </sheetViews>
  <sheetFormatPr defaultColWidth="9.109375" defaultRowHeight="15.6"/>
  <cols>
    <col min="1" max="1" width="47.33203125" style="112" customWidth="1"/>
    <col min="2" max="2" width="17.5546875" style="112" bestFit="1" customWidth="1"/>
    <col min="3" max="3" width="19.6640625" style="112" bestFit="1" customWidth="1"/>
    <col min="4" max="4" width="18.5546875" style="112" bestFit="1" customWidth="1"/>
    <col min="5" max="5" width="20.88671875" style="112" customWidth="1"/>
    <col min="6" max="6" width="20.44140625" style="112" customWidth="1"/>
    <col min="7" max="7" width="14.44140625" style="112" bestFit="1" customWidth="1"/>
    <col min="8" max="8" width="21.33203125" style="112" bestFit="1" customWidth="1"/>
    <col min="9" max="16384" width="9.109375" style="112"/>
  </cols>
  <sheetData>
    <row r="1" spans="1:8" ht="25.8">
      <c r="A1" s="164" t="s">
        <v>90</v>
      </c>
      <c r="B1" s="164"/>
      <c r="C1" s="164"/>
      <c r="D1" s="164"/>
      <c r="E1" s="164"/>
      <c r="F1" s="164"/>
      <c r="G1" s="164"/>
      <c r="H1" s="164"/>
    </row>
    <row r="2" spans="1:8" ht="36.75" customHeight="1">
      <c r="A2" s="111"/>
      <c r="B2" s="111"/>
      <c r="C2" s="111"/>
      <c r="D2" s="111"/>
      <c r="E2" s="111"/>
      <c r="F2" s="111"/>
      <c r="G2" s="111"/>
      <c r="H2" s="111"/>
    </row>
    <row r="3" spans="1:8">
      <c r="A3" s="113" t="s">
        <v>58</v>
      </c>
      <c r="B3" s="114" t="str">
        <f ca="1">ad2bs(TODAY())</f>
        <v>2081-2-11</v>
      </c>
      <c r="C3" s="115" t="str" cm="1">
        <f t="array" aca="1" ref="C3" ca="1">CONCATENATE("(",BS2AD(presentDate)," AD)")</f>
        <v>(2024-5-24 AD)</v>
      </c>
    </row>
    <row r="4" spans="1:8">
      <c r="A4" s="116" t="s">
        <v>73</v>
      </c>
      <c r="B4" s="117" t="str" cm="1">
        <f t="array" aca="1" ref="B4" ca="1">CONCATENATE(LEFT(BSpAdj(presentDate,"qtr"),5),VLOOKUP(BSpAdj(presentDate,"qtr"),indexTable[],2,FALSE))</f>
        <v>2024.Mar/Apr</v>
      </c>
    </row>
    <row r="5" spans="1:8" ht="31.2">
      <c r="A5" s="116" t="s">
        <v>60</v>
      </c>
      <c r="B5" s="117" cm="1">
        <f t="array" aca="1" ref="B5" ca="1">BSpAdj(presentDate,"o")</f>
        <v>152.07703000000001</v>
      </c>
    </row>
    <row r="7" spans="1:8" ht="46.8">
      <c r="A7" s="118" t="s">
        <v>59</v>
      </c>
      <c r="B7" s="119" t="s">
        <v>61</v>
      </c>
      <c r="C7" s="119" t="s">
        <v>68</v>
      </c>
      <c r="D7" s="119" t="s">
        <v>72</v>
      </c>
      <c r="E7" s="120" t="s">
        <v>62</v>
      </c>
      <c r="F7" s="120" t="s">
        <v>63</v>
      </c>
      <c r="G7" s="121" t="s">
        <v>79</v>
      </c>
      <c r="H7" s="121" t="s">
        <v>64</v>
      </c>
    </row>
    <row r="8" spans="1:8">
      <c r="A8" s="122" t="s">
        <v>65</v>
      </c>
      <c r="B8" s="123" t="s">
        <v>102</v>
      </c>
      <c r="C8" s="124" t="str" cm="1">
        <f t="array" ref="C8">BS2AD(projectTable[[#This Row],[Actual Date
of Completion]])</f>
        <v>2020-8-14</v>
      </c>
      <c r="D8" s="124" t="str" cm="1">
        <f t="array" ref="D8">CONCATENATE(LEFT(BSpAdj(projectTable[[#This Row],[Actual Date
of Completion]],"qtr"),5),VLOOKUP(BSpAdj(projectTable[[#This Row],[Actual Date
of Completion]],"qtr"),indexTable[],2,FALSE))</f>
        <v>2020.Jul/Aug</v>
      </c>
      <c r="E8" s="125">
        <f>BSpAdj(projectTable[[#This Row],[Actual Date
of Completion]],"o")</f>
        <v>122.57004499999999</v>
      </c>
      <c r="F8" s="126">
        <v>10000000</v>
      </c>
      <c r="G8" s="127">
        <f ca="1">presentIndex/projectTable[[#This Row],[National Wholesale
Price Index (overall)]]</f>
        <v>1.2407356952508259</v>
      </c>
      <c r="H8" s="128">
        <f ca="1">projectTable[[#This Row],[Amount Paid on
Completion (w/o VAT)]]*projectTable[[#This Row],[Multplying Factor]]</f>
        <v>12407356.95250826</v>
      </c>
    </row>
    <row r="9" spans="1:8">
      <c r="A9" s="122" t="s">
        <v>80</v>
      </c>
      <c r="B9" s="123" t="s">
        <v>129</v>
      </c>
      <c r="C9" s="129" t="str" cm="1">
        <f t="array" ref="C9">BS2AD(projectTable[[#This Row],[Actual Date
of Completion]])</f>
        <v>2018-8-15</v>
      </c>
      <c r="D9" s="124" t="str" cm="1">
        <f t="array" ref="D9">CONCATENATE(LEFT(BSpAdj(projectTable[[#This Row],[Actual Date
of Completion]],"qtr"),5),VLOOKUP(BSpAdj(projectTable[[#This Row],[Actual Date
of Completion]],"qtr"),indexTable[],2,FALSE))</f>
        <v>2018.Jul/Aug</v>
      </c>
      <c r="E9" s="125">
        <f>BSpAdj(projectTable[[#This Row],[Actual Date
of Completion]],"o")</f>
        <v>105.48023000000001</v>
      </c>
      <c r="F9" s="126">
        <v>20000000</v>
      </c>
      <c r="G9" s="127">
        <f ca="1">presentIndex/projectTable[[#This Row],[National Wholesale
Price Index (overall)]]</f>
        <v>1.4417586120166783</v>
      </c>
      <c r="H9" s="128">
        <f ca="1">projectTable[[#This Row],[Amount Paid on
Completion (w/o VAT)]]*projectTable[[#This Row],[Multplying Factor]]</f>
        <v>28835172.240333565</v>
      </c>
    </row>
  </sheetData>
  <mergeCells count="1">
    <mergeCell ref="A1:H1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80" fitToHeight="0" orientation="landscape" blackAndWhite="1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FF00"/>
  </sheetPr>
  <dimension ref="A1:Q182"/>
  <sheetViews>
    <sheetView topLeftCell="A131" zoomScaleNormal="100" workbookViewId="0">
      <selection activeCell="B178" sqref="B178"/>
    </sheetView>
  </sheetViews>
  <sheetFormatPr defaultRowHeight="14.4"/>
  <cols>
    <col min="2" max="2" width="8.6640625" bestFit="1" customWidth="1"/>
    <col min="3" max="3" width="9.5546875" bestFit="1" customWidth="1"/>
    <col min="4" max="4" width="10.6640625" customWidth="1"/>
    <col min="5" max="6" width="12.88671875" customWidth="1"/>
    <col min="7" max="7" width="10.88671875" bestFit="1" customWidth="1"/>
    <col min="9" max="9" width="10.44140625" style="1" bestFit="1" customWidth="1"/>
    <col min="10" max="10" width="6.5546875" style="1" bestFit="1" customWidth="1"/>
    <col min="11" max="12" width="9.109375" style="1"/>
    <col min="14" max="14" width="6.109375" bestFit="1" customWidth="1"/>
  </cols>
  <sheetData>
    <row r="1" spans="1:7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57</v>
      </c>
      <c r="G1" s="3" t="s">
        <v>74</v>
      </c>
    </row>
    <row r="2" spans="1:7">
      <c r="A2" s="2">
        <v>1999</v>
      </c>
      <c r="B2" t="s">
        <v>5</v>
      </c>
      <c r="C2" s="1"/>
      <c r="D2" s="1">
        <v>30.8</v>
      </c>
      <c r="E2" s="1">
        <v>39.1</v>
      </c>
      <c r="F2" s="1">
        <v>30.40408683893525</v>
      </c>
      <c r="G2" s="1"/>
    </row>
    <row r="3" spans="1:7">
      <c r="A3" s="2">
        <v>2000</v>
      </c>
      <c r="B3" t="s">
        <v>31</v>
      </c>
      <c r="C3" s="1"/>
      <c r="D3" s="1">
        <v>31.9</v>
      </c>
      <c r="E3" s="1">
        <v>40</v>
      </c>
      <c r="F3" s="1">
        <v>30.80609708889444</v>
      </c>
      <c r="G3" s="1"/>
    </row>
    <row r="4" spans="1:7">
      <c r="A4" s="2">
        <v>2001</v>
      </c>
      <c r="B4" t="s">
        <v>32</v>
      </c>
      <c r="C4" s="1"/>
      <c r="D4" s="1">
        <v>33.5</v>
      </c>
      <c r="E4" s="1">
        <v>39.799999999999997</v>
      </c>
      <c r="F4" s="1">
        <v>32.299114651615426</v>
      </c>
      <c r="G4" s="1"/>
    </row>
    <row r="5" spans="1:7">
      <c r="A5" s="2">
        <v>2002</v>
      </c>
      <c r="B5" t="s">
        <v>33</v>
      </c>
      <c r="C5" s="1"/>
      <c r="D5" s="1">
        <v>33.700000000000003</v>
      </c>
      <c r="E5" s="1">
        <v>39.799999999999997</v>
      </c>
      <c r="F5" s="1">
        <v>33.536310248435754</v>
      </c>
      <c r="G5" s="1"/>
    </row>
    <row r="6" spans="1:7">
      <c r="A6" s="2">
        <v>2003</v>
      </c>
      <c r="B6" t="s">
        <v>34</v>
      </c>
      <c r="C6" s="1"/>
      <c r="D6" s="1">
        <v>38.9</v>
      </c>
      <c r="E6" s="1">
        <v>42</v>
      </c>
      <c r="F6" s="1">
        <v>34.904150720044171</v>
      </c>
      <c r="G6" s="1"/>
    </row>
    <row r="7" spans="1:7">
      <c r="A7" s="2">
        <v>2004</v>
      </c>
      <c r="B7" t="s">
        <v>35</v>
      </c>
      <c r="C7" s="1">
        <v>100</v>
      </c>
      <c r="D7" s="1">
        <v>44.9</v>
      </c>
      <c r="E7" s="1">
        <v>46.2</v>
      </c>
      <c r="F7" s="1">
        <v>37.456720726569259</v>
      </c>
      <c r="G7" s="1"/>
    </row>
    <row r="8" spans="1:7">
      <c r="A8" s="2">
        <v>2005</v>
      </c>
      <c r="B8" t="s">
        <v>36</v>
      </c>
      <c r="C8" s="1">
        <v>101.3</v>
      </c>
      <c r="D8" s="1">
        <v>45.8</v>
      </c>
      <c r="E8" s="1">
        <v>49.3</v>
      </c>
      <c r="F8" s="1">
        <v>40.781894356022164</v>
      </c>
      <c r="G8" s="1"/>
    </row>
    <row r="9" spans="1:7">
      <c r="A9" s="2">
        <v>2006</v>
      </c>
      <c r="B9" t="s">
        <v>37</v>
      </c>
      <c r="C9" s="1">
        <v>109.1</v>
      </c>
      <c r="D9" s="1">
        <v>53</v>
      </c>
      <c r="E9" s="1">
        <v>50.8</v>
      </c>
      <c r="F9" s="1">
        <v>44.456753912476529</v>
      </c>
      <c r="G9" s="1"/>
    </row>
    <row r="10" spans="1:7">
      <c r="A10" s="2">
        <v>2007</v>
      </c>
      <c r="B10" t="s">
        <v>38</v>
      </c>
      <c r="C10" s="1">
        <v>120.2</v>
      </c>
      <c r="D10" s="1">
        <v>60.4</v>
      </c>
      <c r="E10" s="1">
        <v>55.4</v>
      </c>
      <c r="F10" s="1">
        <v>48.439113275770872</v>
      </c>
      <c r="G10" s="1"/>
    </row>
    <row r="11" spans="1:7">
      <c r="A11" s="2">
        <v>2008</v>
      </c>
      <c r="B11" t="s">
        <v>39</v>
      </c>
      <c r="C11" s="1">
        <v>138.6</v>
      </c>
      <c r="D11" s="1">
        <v>67</v>
      </c>
      <c r="E11" s="1">
        <v>66.599999999999994</v>
      </c>
      <c r="F11" s="1">
        <v>54.942143645253957</v>
      </c>
      <c r="G11" s="1"/>
    </row>
    <row r="12" spans="1:7">
      <c r="A12" s="2">
        <v>2009</v>
      </c>
      <c r="B12" t="s">
        <v>40</v>
      </c>
      <c r="C12" s="1">
        <v>156.6</v>
      </c>
      <c r="D12" s="1">
        <v>69.7</v>
      </c>
      <c r="E12" s="1">
        <v>65.099999999999994</v>
      </c>
      <c r="F12" s="1">
        <v>61.600653521973008</v>
      </c>
      <c r="G12" s="1"/>
    </row>
    <row r="13" spans="1:7">
      <c r="A13" s="2">
        <v>2010</v>
      </c>
      <c r="B13" t="s">
        <v>41</v>
      </c>
      <c r="C13" s="1">
        <v>189.9</v>
      </c>
      <c r="D13" s="1">
        <v>73.3</v>
      </c>
      <c r="E13" s="1">
        <v>68</v>
      </c>
      <c r="F13" s="1">
        <v>67.652474049928202</v>
      </c>
      <c r="G13" s="1"/>
    </row>
    <row r="14" spans="1:7">
      <c r="A14" s="2">
        <v>2011</v>
      </c>
      <c r="B14" t="s">
        <v>42</v>
      </c>
      <c r="C14" s="1">
        <v>250.3</v>
      </c>
      <c r="D14" s="1">
        <v>77.400000000000006</v>
      </c>
      <c r="E14" s="1">
        <v>75.599999999999994</v>
      </c>
      <c r="F14" s="1">
        <v>72.049973761253923</v>
      </c>
      <c r="G14" s="1"/>
    </row>
    <row r="15" spans="1:7">
      <c r="A15" s="2">
        <v>2012</v>
      </c>
      <c r="B15" t="s">
        <v>6</v>
      </c>
      <c r="C15" s="1">
        <v>268.10000000000002</v>
      </c>
      <c r="D15" s="1">
        <v>80.7</v>
      </c>
      <c r="E15" s="1">
        <v>77</v>
      </c>
      <c r="F15" s="1">
        <v>78.484789553478151</v>
      </c>
      <c r="G15" s="1"/>
    </row>
    <row r="16" spans="1:7">
      <c r="A16" s="2">
        <v>2013</v>
      </c>
      <c r="B16" t="s">
        <v>7</v>
      </c>
      <c r="C16" s="1">
        <v>285.89999999999998</v>
      </c>
      <c r="D16" s="1">
        <v>85.2</v>
      </c>
      <c r="E16" s="1">
        <v>75.900000000000006</v>
      </c>
      <c r="F16" s="1">
        <v>85.011963843581356</v>
      </c>
      <c r="G16" s="1"/>
    </row>
    <row r="17" spans="1:7">
      <c r="A17" s="2">
        <v>2014</v>
      </c>
      <c r="B17" t="s">
        <v>8</v>
      </c>
      <c r="C17" s="1">
        <v>322.89999999999998</v>
      </c>
      <c r="D17" s="1">
        <v>89</v>
      </c>
      <c r="E17" s="1">
        <v>76.400000000000006</v>
      </c>
      <c r="F17" s="1">
        <v>90.139635351887236</v>
      </c>
      <c r="G17" s="1"/>
    </row>
    <row r="18" spans="1:7">
      <c r="A18" s="2">
        <v>2015</v>
      </c>
      <c r="B18" t="s">
        <v>9</v>
      </c>
      <c r="C18" s="1">
        <v>354.1</v>
      </c>
      <c r="D18" s="1">
        <v>91.3</v>
      </c>
      <c r="E18" s="1">
        <v>82</v>
      </c>
      <c r="F18" s="1">
        <v>95.792244445884805</v>
      </c>
      <c r="G18" s="1"/>
    </row>
    <row r="19" spans="1:7">
      <c r="A19" s="2">
        <v>2016</v>
      </c>
      <c r="B19" t="s">
        <v>10</v>
      </c>
      <c r="C19" s="1">
        <v>405.7</v>
      </c>
      <c r="D19" s="1">
        <v>90.3</v>
      </c>
      <c r="E19" s="1">
        <v>97</v>
      </c>
      <c r="F19" s="1">
        <v>98.296530571895929</v>
      </c>
      <c r="G19" s="1"/>
    </row>
    <row r="20" spans="1:7">
      <c r="A20" s="1"/>
      <c r="B20" t="s">
        <v>11</v>
      </c>
      <c r="C20" s="1">
        <v>403.3</v>
      </c>
      <c r="D20" s="1">
        <v>88.4</v>
      </c>
      <c r="E20" s="1">
        <v>90.5</v>
      </c>
      <c r="F20" s="1">
        <v>97.5</v>
      </c>
      <c r="G20" s="1"/>
    </row>
    <row r="21" spans="1:7">
      <c r="A21" s="1">
        <v>2016.08</v>
      </c>
      <c r="B21" t="s">
        <v>12</v>
      </c>
      <c r="C21" s="1">
        <v>403.3</v>
      </c>
      <c r="D21" s="1">
        <v>88.8</v>
      </c>
      <c r="E21" s="1">
        <v>89.3</v>
      </c>
      <c r="F21" s="1">
        <v>98</v>
      </c>
      <c r="G21" s="1"/>
    </row>
    <row r="22" spans="1:7">
      <c r="A22" s="1">
        <v>2016.09</v>
      </c>
      <c r="B22" t="s">
        <v>13</v>
      </c>
      <c r="C22" s="1">
        <v>403.3</v>
      </c>
      <c r="D22" s="1">
        <v>88.4</v>
      </c>
      <c r="E22" s="1">
        <v>91.6</v>
      </c>
      <c r="F22" s="1">
        <v>97.3</v>
      </c>
      <c r="G22" s="1"/>
    </row>
    <row r="23" spans="1:7">
      <c r="A23" s="1">
        <v>2016.1</v>
      </c>
      <c r="B23" t="s">
        <v>14</v>
      </c>
      <c r="C23" s="1">
        <v>403.3</v>
      </c>
      <c r="D23" s="1">
        <v>87.9</v>
      </c>
      <c r="E23" s="1">
        <v>90.6</v>
      </c>
      <c r="F23" s="1">
        <v>97.2</v>
      </c>
      <c r="G23" s="1"/>
    </row>
    <row r="24" spans="1:7">
      <c r="A24" s="1"/>
      <c r="B24" t="s">
        <v>15</v>
      </c>
      <c r="C24" s="1">
        <v>403.8</v>
      </c>
      <c r="D24" s="1">
        <v>89.5</v>
      </c>
      <c r="E24" s="1">
        <v>96.4</v>
      </c>
      <c r="F24" s="1">
        <v>97.2</v>
      </c>
      <c r="G24" s="1"/>
    </row>
    <row r="25" spans="1:7">
      <c r="A25" s="1">
        <v>2016.11</v>
      </c>
      <c r="B25" t="s">
        <v>16</v>
      </c>
      <c r="C25" s="1">
        <v>403.3</v>
      </c>
      <c r="D25" s="1">
        <v>89</v>
      </c>
      <c r="E25" s="1">
        <v>91.6</v>
      </c>
      <c r="F25" s="1">
        <v>98.7</v>
      </c>
      <c r="G25" s="1"/>
    </row>
    <row r="26" spans="1:7">
      <c r="A26" s="1">
        <v>2016.12</v>
      </c>
      <c r="B26" t="s">
        <v>17</v>
      </c>
      <c r="C26" s="1">
        <v>403.3</v>
      </c>
      <c r="D26" s="1">
        <v>92.1</v>
      </c>
      <c r="E26" s="1">
        <v>98.5</v>
      </c>
      <c r="F26" s="1">
        <v>96.2</v>
      </c>
      <c r="G26" s="1"/>
    </row>
    <row r="27" spans="1:7">
      <c r="A27" s="1">
        <v>2017.01</v>
      </c>
      <c r="B27" t="s">
        <v>18</v>
      </c>
      <c r="C27" s="1">
        <v>404.8</v>
      </c>
      <c r="D27" s="1">
        <v>87.4</v>
      </c>
      <c r="E27" s="1">
        <v>99.2</v>
      </c>
      <c r="F27" s="1">
        <v>96.7</v>
      </c>
      <c r="G27" s="1"/>
    </row>
    <row r="28" spans="1:7">
      <c r="A28" s="1"/>
      <c r="B28" t="s">
        <v>19</v>
      </c>
      <c r="C28" s="1">
        <v>405.1</v>
      </c>
      <c r="D28" s="1">
        <v>90.1</v>
      </c>
      <c r="E28" s="1">
        <v>100.1</v>
      </c>
      <c r="F28" s="1">
        <v>97.6</v>
      </c>
      <c r="G28" s="1"/>
    </row>
    <row r="29" spans="1:7">
      <c r="A29" s="1">
        <v>2017.02</v>
      </c>
      <c r="B29" t="s">
        <v>20</v>
      </c>
      <c r="C29" s="1">
        <v>404.8</v>
      </c>
      <c r="D29" s="1">
        <v>89.8</v>
      </c>
      <c r="E29" s="1">
        <v>99.9</v>
      </c>
      <c r="F29" s="1">
        <v>97</v>
      </c>
      <c r="G29" s="1"/>
    </row>
    <row r="30" spans="1:7">
      <c r="A30" s="1">
        <v>2017.03</v>
      </c>
      <c r="B30" t="s">
        <v>21</v>
      </c>
      <c r="C30" s="1">
        <v>404.8</v>
      </c>
      <c r="D30" s="1">
        <v>91</v>
      </c>
      <c r="E30" s="1">
        <v>99.9</v>
      </c>
      <c r="F30" s="1">
        <v>97.6</v>
      </c>
      <c r="G30" s="1"/>
    </row>
    <row r="31" spans="1:7">
      <c r="A31" s="1">
        <v>2017.04</v>
      </c>
      <c r="B31" t="s">
        <v>22</v>
      </c>
      <c r="C31" s="1">
        <v>405.6</v>
      </c>
      <c r="D31" s="1">
        <v>89.6</v>
      </c>
      <c r="E31" s="1">
        <v>100.6</v>
      </c>
      <c r="F31" s="1">
        <v>98.3</v>
      </c>
      <c r="G31" s="1"/>
    </row>
    <row r="32" spans="1:7">
      <c r="A32" s="1"/>
      <c r="B32" t="s">
        <v>23</v>
      </c>
      <c r="C32" s="1">
        <v>410.6</v>
      </c>
      <c r="D32" s="1">
        <v>93.4</v>
      </c>
      <c r="E32" s="1">
        <v>100.9</v>
      </c>
      <c r="F32" s="1">
        <v>100.8</v>
      </c>
      <c r="G32" s="1"/>
    </row>
    <row r="33" spans="1:7">
      <c r="A33" s="1">
        <v>2017.05</v>
      </c>
      <c r="B33" t="s">
        <v>24</v>
      </c>
      <c r="C33" s="1">
        <v>408.6</v>
      </c>
      <c r="D33" s="1">
        <v>92.3</v>
      </c>
      <c r="E33" s="1">
        <v>100.9</v>
      </c>
      <c r="F33" s="1">
        <v>99.6</v>
      </c>
      <c r="G33" s="1"/>
    </row>
    <row r="34" spans="1:7">
      <c r="A34" s="1">
        <v>2017.06</v>
      </c>
      <c r="B34" t="s">
        <v>25</v>
      </c>
      <c r="C34" s="1">
        <v>411.7</v>
      </c>
      <c r="D34" s="1">
        <v>92.7</v>
      </c>
      <c r="E34" s="1">
        <v>100.9</v>
      </c>
      <c r="F34" s="1">
        <v>101.2</v>
      </c>
      <c r="G34" s="1"/>
    </row>
    <row r="35" spans="1:7">
      <c r="A35" s="1">
        <v>2017.07</v>
      </c>
      <c r="B35" t="s">
        <v>26</v>
      </c>
      <c r="C35" s="1">
        <v>411.6</v>
      </c>
      <c r="D35" s="1">
        <v>95.1</v>
      </c>
      <c r="E35" s="1">
        <v>100.9</v>
      </c>
      <c r="F35" s="1">
        <v>101.6</v>
      </c>
      <c r="G35" s="1"/>
    </row>
    <row r="36" spans="1:7">
      <c r="A36" s="1"/>
      <c r="C36" s="1"/>
      <c r="D36" s="1"/>
      <c r="E36" s="1"/>
      <c r="F36" s="1"/>
      <c r="G36" s="1"/>
    </row>
    <row r="37" spans="1:7">
      <c r="A37" s="1"/>
      <c r="B37" t="s">
        <v>27</v>
      </c>
      <c r="C37" s="1">
        <v>426.7</v>
      </c>
      <c r="D37" s="1">
        <v>100.00000000000003</v>
      </c>
      <c r="E37" s="1">
        <v>100.00000000000001</v>
      </c>
      <c r="F37" s="1">
        <v>100</v>
      </c>
      <c r="G37" s="1"/>
    </row>
    <row r="38" spans="1:7">
      <c r="A38" s="1"/>
      <c r="B38" t="s">
        <v>11</v>
      </c>
      <c r="C38" s="1">
        <v>413.16666666666669</v>
      </c>
      <c r="D38" s="1">
        <v>94.129428279290323</v>
      </c>
      <c r="E38" s="1">
        <v>99.174820390091881</v>
      </c>
      <c r="F38" s="1">
        <v>98.869456231420358</v>
      </c>
      <c r="G38" s="1"/>
    </row>
    <row r="39" spans="1:7">
      <c r="A39" s="1">
        <v>2017.08</v>
      </c>
      <c r="B39" t="s">
        <v>12</v>
      </c>
      <c r="C39" s="1">
        <v>411.7</v>
      </c>
      <c r="D39" s="1">
        <v>94.164481961779472</v>
      </c>
      <c r="E39" s="1">
        <v>99.174820390091881</v>
      </c>
      <c r="F39" s="1">
        <v>99.135729899193805</v>
      </c>
      <c r="G39" s="1"/>
    </row>
    <row r="40" spans="1:7">
      <c r="A40" s="1">
        <v>2017.09</v>
      </c>
      <c r="B40" t="s">
        <v>13</v>
      </c>
      <c r="C40" s="1">
        <v>411.7</v>
      </c>
      <c r="D40" s="1">
        <v>94.164481961779472</v>
      </c>
      <c r="E40" s="1">
        <v>99.174820390091881</v>
      </c>
      <c r="F40" s="1">
        <v>98.764655130720115</v>
      </c>
      <c r="G40" s="1"/>
    </row>
    <row r="41" spans="1:7">
      <c r="A41" s="1">
        <v>2017.1</v>
      </c>
      <c r="B41" t="s">
        <v>14</v>
      </c>
      <c r="C41" s="1">
        <v>416.1</v>
      </c>
      <c r="D41" s="1">
        <v>94.059320914312039</v>
      </c>
      <c r="E41" s="1">
        <v>99.174820390091881</v>
      </c>
      <c r="F41" s="1">
        <v>98.70798366434714</v>
      </c>
      <c r="G41" s="1"/>
    </row>
    <row r="42" spans="1:7">
      <c r="A42" s="1"/>
      <c r="C42" s="1"/>
      <c r="D42" s="1"/>
      <c r="E42" s="1"/>
      <c r="F42" s="1"/>
      <c r="G42" s="1"/>
    </row>
    <row r="43" spans="1:7">
      <c r="A43" s="1"/>
      <c r="B43" t="s">
        <v>15</v>
      </c>
      <c r="C43" s="1">
        <v>416.4666666666667</v>
      </c>
      <c r="D43" s="1">
        <v>96.441024112686407</v>
      </c>
      <c r="E43" s="1">
        <v>99.531924976369211</v>
      </c>
      <c r="F43" s="1">
        <v>98.703783854600275</v>
      </c>
      <c r="G43" s="1"/>
    </row>
    <row r="44" spans="1:7">
      <c r="A44" s="1">
        <v>2017.11</v>
      </c>
      <c r="B44" t="s">
        <v>16</v>
      </c>
      <c r="C44" s="1">
        <v>416.1</v>
      </c>
      <c r="D44" s="1">
        <v>94.966382406050442</v>
      </c>
      <c r="E44" s="1">
        <v>99.531924976369197</v>
      </c>
      <c r="F44" s="1">
        <v>99.543361637329056</v>
      </c>
      <c r="G44" s="1"/>
    </row>
    <row r="45" spans="1:7">
      <c r="A45" s="1">
        <v>2017.12</v>
      </c>
      <c r="B45" t="s">
        <v>17</v>
      </c>
      <c r="C45" s="1">
        <v>416.1</v>
      </c>
      <c r="D45" s="1">
        <v>96.208447671291097</v>
      </c>
      <c r="E45" s="1">
        <v>99.531924976369197</v>
      </c>
      <c r="F45" s="1">
        <v>97.926606958793741</v>
      </c>
      <c r="G45" s="1"/>
    </row>
    <row r="46" spans="1:7">
      <c r="A46" s="1">
        <v>2018.01</v>
      </c>
      <c r="B46" t="s">
        <v>18</v>
      </c>
      <c r="C46" s="1">
        <v>417.2</v>
      </c>
      <c r="D46" s="1">
        <v>98.148242260717637</v>
      </c>
      <c r="E46" s="1">
        <v>99.531924976369197</v>
      </c>
      <c r="F46" s="1">
        <v>98.641382967678069</v>
      </c>
      <c r="G46" s="1"/>
    </row>
    <row r="47" spans="1:7">
      <c r="A47" s="1"/>
      <c r="C47" s="1"/>
      <c r="D47" s="1"/>
      <c r="E47" s="1"/>
      <c r="F47" s="1"/>
      <c r="G47" s="1"/>
    </row>
    <row r="48" spans="1:7">
      <c r="A48" s="1"/>
      <c r="B48" t="s">
        <v>19</v>
      </c>
      <c r="C48" s="1">
        <v>433.28999567081019</v>
      </c>
      <c r="D48" s="1">
        <v>102.54149750601145</v>
      </c>
      <c r="E48" s="1">
        <v>100.64227795729364</v>
      </c>
      <c r="F48" s="1">
        <v>99.814434202564485</v>
      </c>
      <c r="G48" s="1"/>
    </row>
    <row r="49" spans="1:7">
      <c r="A49" s="1">
        <v>2018.02</v>
      </c>
      <c r="B49" t="s">
        <v>20</v>
      </c>
      <c r="C49" s="1">
        <v>424.7</v>
      </c>
      <c r="D49" s="1">
        <v>101.84156981578217</v>
      </c>
      <c r="E49" s="1">
        <v>100.64227795729366</v>
      </c>
      <c r="F49" s="1">
        <v>99.122178271705081</v>
      </c>
      <c r="G49" s="1"/>
    </row>
    <row r="50" spans="1:7">
      <c r="A50" s="1">
        <v>2018.03</v>
      </c>
      <c r="B50" t="s">
        <v>21</v>
      </c>
      <c r="C50" s="1">
        <v>437.4</v>
      </c>
      <c r="D50" s="1">
        <v>102.8551477638204</v>
      </c>
      <c r="E50" s="1">
        <v>100.64227795729366</v>
      </c>
      <c r="F50" s="1">
        <v>99.865872125192709</v>
      </c>
      <c r="G50" s="1"/>
    </row>
    <row r="51" spans="1:7">
      <c r="A51" s="1">
        <v>2018.04</v>
      </c>
      <c r="B51" t="s">
        <v>22</v>
      </c>
      <c r="C51" s="1">
        <v>437.9</v>
      </c>
      <c r="D51" s="1">
        <v>102.9277749384318</v>
      </c>
      <c r="E51" s="1">
        <v>100.64227795729366</v>
      </c>
      <c r="F51" s="1">
        <v>100.45525221079566</v>
      </c>
      <c r="G51" s="1"/>
    </row>
    <row r="52" spans="1:7">
      <c r="A52" s="1"/>
      <c r="C52" s="1"/>
      <c r="D52" s="1"/>
      <c r="E52" s="1"/>
      <c r="F52" s="1"/>
      <c r="G52" s="1"/>
    </row>
    <row r="53" spans="1:7">
      <c r="A53" s="1"/>
      <c r="B53" t="s">
        <v>23</v>
      </c>
      <c r="C53" s="1">
        <v>443.96456494928765</v>
      </c>
      <c r="D53" s="1">
        <v>106.8880501020119</v>
      </c>
      <c r="E53" s="1">
        <v>100.65097667624532</v>
      </c>
      <c r="F53" s="1">
        <v>102.61232571141483</v>
      </c>
      <c r="G53" s="1"/>
    </row>
    <row r="54" spans="1:7">
      <c r="A54" s="1">
        <v>2018.05</v>
      </c>
      <c r="B54" t="s">
        <v>24</v>
      </c>
      <c r="C54" s="1">
        <v>443</v>
      </c>
      <c r="D54" s="1">
        <v>105.9168390614808</v>
      </c>
      <c r="E54" s="1">
        <v>100.65097667624532</v>
      </c>
      <c r="F54" s="1">
        <v>101.59790283446861</v>
      </c>
      <c r="G54" s="1"/>
    </row>
    <row r="55" spans="1:7">
      <c r="A55" s="1">
        <v>2018.06</v>
      </c>
      <c r="B55" t="s">
        <v>25</v>
      </c>
      <c r="C55" s="1">
        <v>443</v>
      </c>
      <c r="D55" s="1">
        <v>106.58388927072822</v>
      </c>
      <c r="E55" s="1">
        <v>100.65097667624532</v>
      </c>
      <c r="F55" s="1">
        <v>102.48203208078642</v>
      </c>
      <c r="G55" s="1"/>
    </row>
    <row r="56" spans="1:7">
      <c r="A56" s="1">
        <v>2018.07</v>
      </c>
      <c r="B56" t="s">
        <v>26</v>
      </c>
      <c r="C56" s="1">
        <v>445.9</v>
      </c>
      <c r="D56" s="1">
        <v>108.16342197382667</v>
      </c>
      <c r="E56" s="1">
        <v>100.65097667624532</v>
      </c>
      <c r="F56" s="1">
        <v>103.75704221898944</v>
      </c>
      <c r="G56" s="1"/>
    </row>
    <row r="57" spans="1:7">
      <c r="A57" s="1"/>
      <c r="C57" s="1"/>
      <c r="D57" s="1"/>
      <c r="E57" s="1"/>
      <c r="F57" s="1"/>
      <c r="G57" s="1"/>
    </row>
    <row r="58" spans="1:7">
      <c r="A58" s="1"/>
      <c r="B58" t="s">
        <v>28</v>
      </c>
      <c r="C58" s="1">
        <v>467.8</v>
      </c>
      <c r="D58" s="1">
        <v>107.98669126690032</v>
      </c>
      <c r="E58" s="1">
        <v>103.84599759390447</v>
      </c>
      <c r="F58" s="1">
        <v>106.36433626723829</v>
      </c>
      <c r="G58" s="1"/>
    </row>
    <row r="59" spans="1:7">
      <c r="A59" s="1"/>
      <c r="B59" t="s">
        <v>11</v>
      </c>
      <c r="C59" s="1">
        <v>453.12593573141356</v>
      </c>
      <c r="D59" s="1">
        <v>108.26874500000001</v>
      </c>
      <c r="E59" s="1">
        <v>102.38489499999999</v>
      </c>
      <c r="F59" s="1">
        <v>106.86756333333334</v>
      </c>
      <c r="G59" s="1"/>
    </row>
    <row r="60" spans="1:7">
      <c r="A60" s="1">
        <v>2018.08</v>
      </c>
      <c r="B60" t="s">
        <v>12</v>
      </c>
      <c r="C60" s="1">
        <v>451.3</v>
      </c>
      <c r="D60" s="1">
        <v>107.93351</v>
      </c>
      <c r="E60" s="1">
        <v>102.384895</v>
      </c>
      <c r="F60" s="1">
        <v>105.48023000000001</v>
      </c>
      <c r="G60" s="1"/>
    </row>
    <row r="61" spans="1:7">
      <c r="A61" s="1">
        <v>2018.09</v>
      </c>
      <c r="B61" t="s">
        <v>13</v>
      </c>
      <c r="C61" s="1">
        <v>451.3</v>
      </c>
      <c r="D61" s="1">
        <v>108.40721000000001</v>
      </c>
      <c r="E61" s="1">
        <v>102.384895</v>
      </c>
      <c r="F61" s="1">
        <v>107.36151</v>
      </c>
      <c r="G61" s="1"/>
    </row>
    <row r="62" spans="1:7">
      <c r="A62" s="1">
        <v>2018.1</v>
      </c>
      <c r="B62" t="s">
        <v>14</v>
      </c>
      <c r="C62" s="1">
        <v>456.8</v>
      </c>
      <c r="D62" s="1">
        <v>108.465515</v>
      </c>
      <c r="E62" s="1">
        <v>102.384895</v>
      </c>
      <c r="F62" s="1">
        <v>107.76094999999999</v>
      </c>
      <c r="G62" s="1"/>
    </row>
    <row r="63" spans="1:7">
      <c r="A63" s="1"/>
      <c r="C63" s="1"/>
      <c r="D63" s="1"/>
      <c r="E63" s="1"/>
      <c r="F63" s="1"/>
      <c r="G63" s="1"/>
    </row>
    <row r="64" spans="1:7">
      <c r="A64" s="1"/>
      <c r="B64" t="s">
        <v>15</v>
      </c>
      <c r="C64" s="1">
        <v>464.79997848228339</v>
      </c>
      <c r="D64" s="1">
        <v>107.92490333333335</v>
      </c>
      <c r="E64" s="1">
        <v>104.11818999999998</v>
      </c>
      <c r="F64" s="1">
        <v>105.33086333333331</v>
      </c>
      <c r="G64" s="1"/>
    </row>
    <row r="65" spans="1:7">
      <c r="A65" s="1">
        <v>2018.11</v>
      </c>
      <c r="B65" t="s">
        <v>16</v>
      </c>
      <c r="C65" s="1">
        <v>464.6</v>
      </c>
      <c r="D65" s="1">
        <v>107.98721</v>
      </c>
      <c r="E65" s="1">
        <v>104.11819</v>
      </c>
      <c r="F65" s="1">
        <v>106.43895999999999</v>
      </c>
      <c r="G65" s="1"/>
    </row>
    <row r="66" spans="1:7">
      <c r="A66" s="1">
        <v>2018.12</v>
      </c>
      <c r="B66" t="s">
        <v>17</v>
      </c>
      <c r="C66" s="1">
        <v>464.9</v>
      </c>
      <c r="D66" s="1">
        <v>107.89727000000001</v>
      </c>
      <c r="E66" s="1">
        <v>104.11819</v>
      </c>
      <c r="F66" s="1">
        <v>104.95336</v>
      </c>
      <c r="G66" s="1"/>
    </row>
    <row r="67" spans="1:7">
      <c r="A67" s="1">
        <v>2019.01</v>
      </c>
      <c r="B67" t="s">
        <v>18</v>
      </c>
      <c r="C67" s="1">
        <v>464.9</v>
      </c>
      <c r="D67" s="1">
        <v>107.89023</v>
      </c>
      <c r="E67" s="1">
        <v>104.11819</v>
      </c>
      <c r="F67" s="1">
        <v>104.60026999999999</v>
      </c>
      <c r="G67" s="1"/>
    </row>
    <row r="68" spans="1:7">
      <c r="A68" s="1"/>
      <c r="C68" s="1"/>
      <c r="D68" s="1"/>
      <c r="E68" s="1"/>
      <c r="F68" s="1"/>
      <c r="G68" s="1"/>
    </row>
    <row r="69" spans="1:7">
      <c r="A69" s="1"/>
      <c r="B69" t="s">
        <v>19</v>
      </c>
      <c r="C69" s="1">
        <v>475.23273524399616</v>
      </c>
      <c r="D69" s="1">
        <v>107.165372</v>
      </c>
      <c r="E69" s="1">
        <v>104.40072000000002</v>
      </c>
      <c r="F69" s="1">
        <v>104.64829833333333</v>
      </c>
      <c r="G69" s="1"/>
    </row>
    <row r="70" spans="1:7">
      <c r="A70" s="1">
        <v>2019.02</v>
      </c>
      <c r="B70" t="s">
        <v>20</v>
      </c>
      <c r="C70" s="1">
        <v>474.7</v>
      </c>
      <c r="D70" s="1">
        <v>107.10903</v>
      </c>
      <c r="E70" s="1">
        <v>104.40072000000001</v>
      </c>
      <c r="F70" s="1">
        <v>104.259315</v>
      </c>
      <c r="G70" s="1"/>
    </row>
    <row r="71" spans="1:7">
      <c r="A71" s="1">
        <v>2019.03</v>
      </c>
      <c r="B71" t="s">
        <v>21</v>
      </c>
      <c r="C71" s="1">
        <v>474.7</v>
      </c>
      <c r="D71" s="1">
        <v>107.217766</v>
      </c>
      <c r="E71" s="1">
        <v>104.40072000000001</v>
      </c>
      <c r="F71" s="1">
        <v>104.83313</v>
      </c>
      <c r="G71" s="1"/>
    </row>
    <row r="72" spans="1:7">
      <c r="A72" s="1">
        <v>2019.04</v>
      </c>
      <c r="B72" t="s">
        <v>22</v>
      </c>
      <c r="C72" s="1">
        <v>476.3</v>
      </c>
      <c r="D72" s="1">
        <v>107.16932</v>
      </c>
      <c r="E72" s="1">
        <v>104.40072000000001</v>
      </c>
      <c r="F72" s="1">
        <v>104.85245</v>
      </c>
      <c r="G72" s="1"/>
    </row>
    <row r="73" spans="1:7">
      <c r="A73" s="1"/>
      <c r="C73" s="1"/>
      <c r="D73" s="1"/>
      <c r="E73" s="1"/>
      <c r="F73" s="1"/>
      <c r="G73" s="1"/>
    </row>
    <row r="74" spans="1:7">
      <c r="A74" s="1"/>
      <c r="B74" t="s">
        <v>23</v>
      </c>
      <c r="C74" s="1">
        <v>476.49997901070384</v>
      </c>
      <c r="D74" s="1">
        <v>108.52858667347087</v>
      </c>
      <c r="E74" s="1">
        <v>104.49440999999993</v>
      </c>
      <c r="F74" s="1">
        <v>108.05581424272448</v>
      </c>
      <c r="G74" s="1"/>
    </row>
    <row r="75" spans="1:7">
      <c r="A75" s="1">
        <v>2019.05</v>
      </c>
      <c r="B75" t="s">
        <v>24</v>
      </c>
      <c r="C75" s="1">
        <v>476.3</v>
      </c>
      <c r="D75" s="1">
        <v>108.4</v>
      </c>
      <c r="E75" s="1">
        <v>104.49441</v>
      </c>
      <c r="F75" s="1">
        <v>106.871635</v>
      </c>
      <c r="G75" s="1"/>
    </row>
    <row r="76" spans="1:7">
      <c r="A76" s="1">
        <v>2019.06</v>
      </c>
      <c r="B76" t="s">
        <v>25</v>
      </c>
      <c r="C76" s="1">
        <v>476.6</v>
      </c>
      <c r="D76" s="1">
        <v>108.51526</v>
      </c>
      <c r="E76" s="1">
        <v>104.49441</v>
      </c>
      <c r="F76" s="1">
        <v>107.93908</v>
      </c>
      <c r="G76" s="1"/>
    </row>
    <row r="77" spans="1:7">
      <c r="A77" s="1">
        <v>2019.07</v>
      </c>
      <c r="B77" t="s">
        <v>26</v>
      </c>
      <c r="C77" s="1">
        <v>476.6</v>
      </c>
      <c r="D77" s="1">
        <v>108.67067</v>
      </c>
      <c r="E77" s="1">
        <v>104.49441</v>
      </c>
      <c r="F77" s="1">
        <v>109.37127</v>
      </c>
      <c r="G77" s="1"/>
    </row>
    <row r="78" spans="1:7">
      <c r="A78" s="1"/>
      <c r="C78" s="1"/>
      <c r="D78" s="1"/>
      <c r="E78" s="1"/>
      <c r="F78" s="1"/>
      <c r="G78" s="1"/>
    </row>
    <row r="79" spans="1:7">
      <c r="A79" s="1"/>
      <c r="B79" t="s">
        <v>29</v>
      </c>
      <c r="C79" s="1">
        <v>498.52618092064</v>
      </c>
      <c r="D79" s="1">
        <v>103.808264367294</v>
      </c>
      <c r="E79" s="1">
        <v>107.47898168151205</v>
      </c>
      <c r="F79" s="1">
        <v>113.05362108903954</v>
      </c>
      <c r="G79" s="1"/>
    </row>
    <row r="80" spans="1:7">
      <c r="A80" s="1"/>
      <c r="B80" t="s">
        <v>11</v>
      </c>
      <c r="C80" s="1">
        <v>495.14331072090181</v>
      </c>
      <c r="D80" s="1">
        <v>106.13954400236041</v>
      </c>
      <c r="E80" s="1">
        <v>107.11339000000001</v>
      </c>
      <c r="F80" s="1">
        <v>112.82876463564361</v>
      </c>
      <c r="G80" s="1"/>
    </row>
    <row r="81" spans="1:7">
      <c r="A81" s="1">
        <v>2019.08</v>
      </c>
      <c r="B81" t="s">
        <v>12</v>
      </c>
      <c r="C81" s="1">
        <v>494.830080854051</v>
      </c>
      <c r="D81" s="1">
        <v>106.58741999999999</v>
      </c>
      <c r="E81" s="1">
        <v>107.11339</v>
      </c>
      <c r="F81" s="1">
        <v>114.19800600000001</v>
      </c>
      <c r="G81" s="1"/>
    </row>
    <row r="82" spans="1:7">
      <c r="A82" s="1">
        <v>2019.09</v>
      </c>
      <c r="B82" t="s">
        <v>13</v>
      </c>
      <c r="C82" s="1">
        <v>495.3</v>
      </c>
      <c r="D82" s="1">
        <v>105.98266</v>
      </c>
      <c r="E82" s="1">
        <v>107.11339</v>
      </c>
      <c r="F82" s="1">
        <v>114.2362</v>
      </c>
      <c r="G82" s="1"/>
    </row>
    <row r="83" spans="1:7">
      <c r="A83" s="1">
        <v>2019.1</v>
      </c>
      <c r="B83" t="s">
        <v>14</v>
      </c>
      <c r="C83" s="1">
        <v>495.3</v>
      </c>
      <c r="D83" s="1">
        <v>105.85000599999999</v>
      </c>
      <c r="E83" s="1">
        <v>107.11339</v>
      </c>
      <c r="F83" s="1">
        <v>115.61494</v>
      </c>
      <c r="G83" s="1"/>
    </row>
    <row r="84" spans="1:7">
      <c r="A84" s="1"/>
      <c r="C84" s="1"/>
      <c r="D84" s="1"/>
      <c r="E84" s="1"/>
      <c r="F84" s="1"/>
      <c r="G84" s="1"/>
    </row>
    <row r="85" spans="1:7">
      <c r="A85" s="1"/>
      <c r="B85" t="s">
        <v>15</v>
      </c>
      <c r="C85" s="1">
        <v>500.55861349773369</v>
      </c>
      <c r="D85" s="1">
        <v>103.15964682639706</v>
      </c>
      <c r="E85" s="1">
        <v>107.38750499999999</v>
      </c>
      <c r="F85" s="1">
        <v>113.90192967035063</v>
      </c>
      <c r="G85" s="1"/>
    </row>
    <row r="86" spans="1:7">
      <c r="A86" s="1">
        <v>2019.11</v>
      </c>
      <c r="B86" t="s">
        <v>16</v>
      </c>
      <c r="C86" s="1">
        <v>500</v>
      </c>
      <c r="D86" s="1">
        <v>104.74215</v>
      </c>
      <c r="E86" s="1">
        <v>107.387505</v>
      </c>
      <c r="F86" s="1">
        <v>114.49728</v>
      </c>
      <c r="G86" s="1"/>
    </row>
    <row r="87" spans="1:7">
      <c r="A87" s="1">
        <v>2019.12</v>
      </c>
      <c r="B87" t="s">
        <v>17</v>
      </c>
      <c r="C87" s="1">
        <v>500.8381542398198</v>
      </c>
      <c r="D87" s="1">
        <v>102.328766</v>
      </c>
      <c r="E87" s="1">
        <v>107.387505</v>
      </c>
      <c r="F87" s="1">
        <v>114.376045</v>
      </c>
      <c r="G87" s="1"/>
    </row>
    <row r="88" spans="1:7">
      <c r="A88" s="1">
        <v>2020.01</v>
      </c>
      <c r="B88" t="s">
        <v>18</v>
      </c>
      <c r="C88" s="1">
        <v>500.8381542398198</v>
      </c>
      <c r="D88" s="1">
        <v>102.426025</v>
      </c>
      <c r="E88" s="1">
        <v>107.387505</v>
      </c>
      <c r="F88" s="1">
        <v>112.83998</v>
      </c>
      <c r="G88" s="1"/>
    </row>
    <row r="89" spans="1:7">
      <c r="A89" s="1"/>
      <c r="C89" s="1"/>
      <c r="D89" s="1"/>
      <c r="E89" s="1"/>
      <c r="F89" s="1"/>
      <c r="G89" s="1"/>
    </row>
    <row r="90" spans="1:7">
      <c r="A90" s="1"/>
      <c r="B90" t="s">
        <v>19</v>
      </c>
      <c r="C90" s="1">
        <v>500.83815423981963</v>
      </c>
      <c r="D90" s="1">
        <v>103.06978106974678</v>
      </c>
      <c r="E90" s="1">
        <v>107.67621599999995</v>
      </c>
      <c r="F90" s="1">
        <v>112.13598378220715</v>
      </c>
      <c r="G90" s="1"/>
    </row>
    <row r="91" spans="1:7">
      <c r="A91" s="1">
        <v>2020.02</v>
      </c>
      <c r="B91" t="s">
        <v>20</v>
      </c>
      <c r="C91" s="1">
        <v>500.8381542398198</v>
      </c>
      <c r="D91" s="1">
        <v>102.93785</v>
      </c>
      <c r="E91" s="1">
        <v>107.676216</v>
      </c>
      <c r="F91" s="1">
        <v>111.69307000000001</v>
      </c>
      <c r="G91" s="1"/>
    </row>
    <row r="92" spans="1:7">
      <c r="A92" s="1">
        <v>2020.03</v>
      </c>
      <c r="B92" t="s">
        <v>21</v>
      </c>
      <c r="C92" s="1">
        <v>500.8381542398198</v>
      </c>
      <c r="D92" s="1">
        <v>103.13581000000001</v>
      </c>
      <c r="E92" s="1">
        <v>107.676216</v>
      </c>
      <c r="F92" s="1">
        <v>111.71585</v>
      </c>
      <c r="G92" s="1"/>
    </row>
    <row r="93" spans="1:7">
      <c r="A93" s="1">
        <v>2020.04</v>
      </c>
      <c r="B93" t="s">
        <v>22</v>
      </c>
      <c r="C93" s="1">
        <v>500.8381542398198</v>
      </c>
      <c r="D93" s="1">
        <v>103.13581000000001</v>
      </c>
      <c r="E93" s="1">
        <v>107.676216</v>
      </c>
      <c r="F93" s="1">
        <v>113.00404</v>
      </c>
      <c r="G93" s="1"/>
    </row>
    <row r="94" spans="1:7">
      <c r="A94" s="1"/>
      <c r="C94" s="1"/>
      <c r="D94" s="1"/>
      <c r="E94" s="1"/>
      <c r="F94" s="1"/>
      <c r="G94" s="1"/>
    </row>
    <row r="95" spans="1:7">
      <c r="A95" s="1"/>
      <c r="B95" t="s">
        <v>23</v>
      </c>
      <c r="C95" s="1">
        <v>497.58653798254153</v>
      </c>
      <c r="D95" s="1">
        <v>102.89856111084701</v>
      </c>
      <c r="E95" s="1">
        <v>107.73997499999992</v>
      </c>
      <c r="F95" s="1">
        <v>113.35534336702261</v>
      </c>
      <c r="G95" s="1"/>
    </row>
    <row r="96" spans="1:7">
      <c r="A96" s="1">
        <v>2020.05</v>
      </c>
      <c r="B96" t="s">
        <v>24</v>
      </c>
      <c r="C96" s="1">
        <v>500.83815423982003</v>
      </c>
      <c r="D96" s="1">
        <v>102.75022</v>
      </c>
      <c r="E96" s="1">
        <v>107.739975</v>
      </c>
      <c r="F96" s="1">
        <v>112.38232000000001</v>
      </c>
      <c r="G96" s="1"/>
    </row>
    <row r="97" spans="1:17">
      <c r="A97" s="1">
        <v>2020.06</v>
      </c>
      <c r="B97" t="s">
        <v>25</v>
      </c>
      <c r="C97" s="1">
        <v>495.96865492666547</v>
      </c>
      <c r="D97" s="1">
        <v>103.44945</v>
      </c>
      <c r="E97" s="1">
        <v>107.739975</v>
      </c>
      <c r="F97" s="1">
        <v>112.21762</v>
      </c>
      <c r="G97" s="1"/>
    </row>
    <row r="98" spans="1:17">
      <c r="A98" s="1">
        <v>2020.07</v>
      </c>
      <c r="B98" t="s">
        <v>26</v>
      </c>
      <c r="C98" s="1">
        <v>495.96865492666547</v>
      </c>
      <c r="D98" s="1">
        <v>102.49836999999999</v>
      </c>
      <c r="E98" s="1">
        <v>107.739975</v>
      </c>
      <c r="F98" s="1">
        <v>115.496</v>
      </c>
      <c r="G98" s="1"/>
      <c r="I98" s="165" t="s">
        <v>123</v>
      </c>
      <c r="J98" s="165"/>
      <c r="K98" s="165"/>
      <c r="L98" s="165"/>
      <c r="M98" s="165"/>
      <c r="N98" s="165"/>
      <c r="O98" s="165"/>
      <c r="P98" s="165"/>
      <c r="Q98" s="165"/>
    </row>
    <row r="99" spans="1:17">
      <c r="A99" s="1"/>
      <c r="C99" s="1"/>
      <c r="D99" s="1"/>
      <c r="E99" s="1"/>
      <c r="F99" s="1"/>
      <c r="G99" s="1"/>
    </row>
    <row r="100" spans="1:17">
      <c r="A100" s="1"/>
      <c r="B100" t="s">
        <v>30</v>
      </c>
      <c r="C100" s="1">
        <v>508.17862560528454</v>
      </c>
      <c r="D100" s="1">
        <v>107.64860615132841</v>
      </c>
      <c r="E100" s="1">
        <v>113.03394940978926</v>
      </c>
      <c r="F100" s="1">
        <f>AVERAGE(F101,F106,F111,F116)</f>
        <v>122.15564363142343</v>
      </c>
      <c r="G100" s="1"/>
      <c r="I100" s="1">
        <v>508.17862560528454</v>
      </c>
      <c r="N100" s="1" t="b">
        <f>C100=I100</f>
        <v>1</v>
      </c>
      <c r="O100" s="1"/>
      <c r="P100" s="1"/>
    </row>
    <row r="101" spans="1:17">
      <c r="A101" s="1"/>
      <c r="B101" t="s">
        <v>11</v>
      </c>
      <c r="C101" s="1">
        <v>498.89708734700673</v>
      </c>
      <c r="D101" s="1">
        <v>103.80737161799628</v>
      </c>
      <c r="E101" s="1">
        <v>112.19695000000003</v>
      </c>
      <c r="F101" s="1">
        <v>124.00294157517109</v>
      </c>
      <c r="G101" s="1"/>
      <c r="I101" s="1">
        <v>498.89708734700673</v>
      </c>
      <c r="J101" s="1">
        <v>103.80737161799628</v>
      </c>
      <c r="K101" s="1">
        <v>112.19695000000003</v>
      </c>
      <c r="L101" s="1">
        <v>124.00294157517109</v>
      </c>
      <c r="N101" s="1" t="b">
        <f>indexTable[[#This Row],[Labour]]=I101</f>
        <v>1</v>
      </c>
      <c r="O101" s="1" t="b">
        <f t="shared" ref="O101:O160" si="0">D101=J101</f>
        <v>1</v>
      </c>
      <c r="P101" s="1" t="b">
        <f t="shared" ref="P101:Q160" si="1">E101=K101</f>
        <v>1</v>
      </c>
      <c r="Q101" s="1" t="b">
        <f t="shared" si="1"/>
        <v>1</v>
      </c>
    </row>
    <row r="102" spans="1:17">
      <c r="A102" s="1">
        <v>2020.08</v>
      </c>
      <c r="B102" t="s">
        <v>12</v>
      </c>
      <c r="C102" s="1">
        <v>499.06855291105023</v>
      </c>
      <c r="D102" s="1">
        <v>104.10543</v>
      </c>
      <c r="E102" s="1">
        <v>112.19695</v>
      </c>
      <c r="F102" s="1">
        <v>122.57004499999999</v>
      </c>
      <c r="G102" s="1"/>
      <c r="I102" s="1">
        <v>499.06855291105023</v>
      </c>
      <c r="J102" s="1">
        <v>104.10543</v>
      </c>
      <c r="K102" s="1">
        <v>112.19695</v>
      </c>
      <c r="L102" s="1">
        <v>122.57004499999999</v>
      </c>
      <c r="N102" s="1" t="b">
        <f>indexTable[[#This Row],[Labour]]=I102</f>
        <v>1</v>
      </c>
      <c r="O102" s="1" t="b">
        <f t="shared" si="0"/>
        <v>1</v>
      </c>
      <c r="P102" s="1" t="b">
        <f t="shared" si="1"/>
        <v>1</v>
      </c>
      <c r="Q102" s="1" t="b">
        <f t="shared" si="1"/>
        <v>1</v>
      </c>
    </row>
    <row r="103" spans="1:17">
      <c r="A103" s="1">
        <v>2020.09</v>
      </c>
      <c r="B103" t="s">
        <v>13</v>
      </c>
      <c r="C103" s="1">
        <v>498.81137665773389</v>
      </c>
      <c r="D103" s="1">
        <v>103.72685</v>
      </c>
      <c r="E103" s="1">
        <v>112.19695</v>
      </c>
      <c r="F103" s="1">
        <v>124.29369</v>
      </c>
      <c r="G103" s="1"/>
      <c r="I103" s="1">
        <v>498.81137665773389</v>
      </c>
      <c r="J103" s="1">
        <v>103.72685</v>
      </c>
      <c r="K103" s="1">
        <v>112.19695</v>
      </c>
      <c r="L103" s="1">
        <v>124.29369</v>
      </c>
      <c r="N103" s="1" t="b">
        <f>indexTable[[#This Row],[Labour]]=I103</f>
        <v>1</v>
      </c>
      <c r="O103" s="1" t="b">
        <f t="shared" si="0"/>
        <v>1</v>
      </c>
      <c r="P103" s="1" t="b">
        <f t="shared" si="1"/>
        <v>1</v>
      </c>
      <c r="Q103" s="1" t="b">
        <f t="shared" si="1"/>
        <v>1</v>
      </c>
    </row>
    <row r="104" spans="1:17">
      <c r="A104" s="1">
        <v>2020.1</v>
      </c>
      <c r="B104" t="s">
        <v>14</v>
      </c>
      <c r="C104" s="1">
        <v>498.81137665773389</v>
      </c>
      <c r="D104" s="1">
        <v>103.59052</v>
      </c>
      <c r="E104" s="1">
        <v>112.19695</v>
      </c>
      <c r="F104" s="1">
        <v>125.15913</v>
      </c>
      <c r="G104" s="1"/>
      <c r="I104" s="1">
        <v>498.81137665773389</v>
      </c>
      <c r="J104" s="1">
        <v>103.59052</v>
      </c>
      <c r="K104" s="1">
        <v>112.19695</v>
      </c>
      <c r="L104" s="1">
        <v>125.15913</v>
      </c>
      <c r="N104" s="1" t="b">
        <f>indexTable[[#This Row],[Labour]]=I104</f>
        <v>1</v>
      </c>
      <c r="O104" s="1" t="b">
        <f t="shared" si="0"/>
        <v>1</v>
      </c>
      <c r="P104" s="1" t="b">
        <f t="shared" si="1"/>
        <v>1</v>
      </c>
      <c r="Q104" s="1" t="b">
        <f t="shared" si="1"/>
        <v>1</v>
      </c>
    </row>
    <row r="105" spans="1:17">
      <c r="A105" s="1"/>
      <c r="C105" s="1"/>
      <c r="D105" s="1"/>
      <c r="E105" s="1"/>
      <c r="F105" s="1"/>
      <c r="G105" s="1"/>
      <c r="N105" s="1" t="b">
        <f>indexTable[[#This Row],[Labour]]=I105</f>
        <v>1</v>
      </c>
      <c r="O105" s="1" t="b">
        <f t="shared" si="0"/>
        <v>1</v>
      </c>
      <c r="P105" s="1" t="b">
        <f t="shared" si="1"/>
        <v>1</v>
      </c>
      <c r="Q105" s="1" t="b">
        <f t="shared" si="1"/>
        <v>1</v>
      </c>
    </row>
    <row r="106" spans="1:17">
      <c r="A106" s="1"/>
      <c r="B106" t="s">
        <v>15</v>
      </c>
      <c r="C106" s="1">
        <v>502.93835782771362</v>
      </c>
      <c r="D106" s="1">
        <v>105.56151836739436</v>
      </c>
      <c r="E106" s="1">
        <v>112.74574999999994</v>
      </c>
      <c r="F106" s="1">
        <v>122.644594022088</v>
      </c>
      <c r="G106" s="1"/>
      <c r="I106" s="1">
        <v>502.93835782771362</v>
      </c>
      <c r="J106" s="1">
        <v>105.56151836739436</v>
      </c>
      <c r="K106" s="1">
        <v>112.74574999999994</v>
      </c>
      <c r="L106" s="1">
        <v>122.644594022088</v>
      </c>
      <c r="N106" s="1" t="b">
        <f>indexTable[[#This Row],[Labour]]=I106</f>
        <v>1</v>
      </c>
      <c r="O106" s="1" t="b">
        <f t="shared" si="0"/>
        <v>1</v>
      </c>
      <c r="P106" s="1" t="b">
        <f t="shared" si="1"/>
        <v>1</v>
      </c>
      <c r="Q106" s="1" t="b">
        <f t="shared" si="1"/>
        <v>1</v>
      </c>
    </row>
    <row r="107" spans="1:17">
      <c r="A107" s="1">
        <v>2020.11</v>
      </c>
      <c r="B107" t="s">
        <v>16</v>
      </c>
      <c r="C107" s="1">
        <v>498.81137665773389</v>
      </c>
      <c r="D107" s="1">
        <v>104.547195</v>
      </c>
      <c r="E107" s="1">
        <v>112.74575</v>
      </c>
      <c r="F107" s="1">
        <v>125.275566</v>
      </c>
      <c r="G107" s="1"/>
      <c r="I107" s="1">
        <v>498.81137665773389</v>
      </c>
      <c r="J107" s="1">
        <v>104.547195</v>
      </c>
      <c r="K107" s="1">
        <v>112.74575</v>
      </c>
      <c r="L107" s="1">
        <v>125.275566</v>
      </c>
      <c r="N107" s="1" t="b">
        <f>indexTable[[#This Row],[Labour]]=I107</f>
        <v>1</v>
      </c>
      <c r="O107" s="1" t="b">
        <f t="shared" si="0"/>
        <v>1</v>
      </c>
      <c r="P107" s="1" t="b">
        <f t="shared" si="1"/>
        <v>1</v>
      </c>
      <c r="Q107" s="1" t="b">
        <f t="shared" si="1"/>
        <v>1</v>
      </c>
    </row>
    <row r="108" spans="1:17">
      <c r="A108" s="1">
        <v>2020.12</v>
      </c>
      <c r="B108" t="s">
        <v>17</v>
      </c>
      <c r="C108" s="1">
        <v>500.96844064228122</v>
      </c>
      <c r="D108" s="1">
        <v>105.03371</v>
      </c>
      <c r="E108" s="1">
        <v>112.74575</v>
      </c>
      <c r="F108" s="1">
        <v>122.90701</v>
      </c>
      <c r="G108" s="1"/>
      <c r="I108" s="1">
        <v>500.96844064228122</v>
      </c>
      <c r="J108" s="1">
        <v>105.03371</v>
      </c>
      <c r="K108" s="1">
        <v>112.74575</v>
      </c>
      <c r="L108" s="1">
        <v>122.90701</v>
      </c>
      <c r="N108" s="1" t="b">
        <f>indexTable[[#This Row],[Labour]]=I108</f>
        <v>1</v>
      </c>
      <c r="O108" s="1" t="b">
        <f t="shared" si="0"/>
        <v>1</v>
      </c>
      <c r="P108" s="1" t="b">
        <f t="shared" si="1"/>
        <v>1</v>
      </c>
      <c r="Q108" s="1" t="b">
        <f t="shared" si="1"/>
        <v>1</v>
      </c>
    </row>
    <row r="109" spans="1:17">
      <c r="A109" s="1">
        <v>2021.01</v>
      </c>
      <c r="B109" t="s">
        <v>18</v>
      </c>
      <c r="C109" s="1">
        <v>509.09350990196276</v>
      </c>
      <c r="D109" s="1">
        <v>107.12129</v>
      </c>
      <c r="E109" s="1">
        <v>112.74575</v>
      </c>
      <c r="F109" s="1">
        <v>119.81252000000001</v>
      </c>
      <c r="G109" s="1"/>
      <c r="I109" s="1">
        <v>509.09350990196276</v>
      </c>
      <c r="J109" s="1">
        <v>107.12129</v>
      </c>
      <c r="K109" s="1">
        <v>112.74575</v>
      </c>
      <c r="L109" s="1">
        <v>119.81252000000001</v>
      </c>
      <c r="N109" s="1" t="b">
        <f>indexTable[[#This Row],[Labour]]=I109</f>
        <v>1</v>
      </c>
      <c r="O109" s="1" t="b">
        <f t="shared" si="0"/>
        <v>1</v>
      </c>
      <c r="P109" s="1" t="b">
        <f t="shared" si="1"/>
        <v>1</v>
      </c>
      <c r="Q109" s="1" t="b">
        <f t="shared" si="1"/>
        <v>1</v>
      </c>
    </row>
    <row r="110" spans="1:17">
      <c r="A110" s="1"/>
      <c r="C110" s="1"/>
      <c r="D110" s="1"/>
      <c r="E110" s="1"/>
      <c r="F110" s="1"/>
      <c r="G110" s="1"/>
      <c r="N110" s="1" t="b">
        <f>indexTable[[#This Row],[Labour]]=I110</f>
        <v>1</v>
      </c>
      <c r="O110" s="1" t="b">
        <f t="shared" si="0"/>
        <v>1</v>
      </c>
      <c r="P110" s="1" t="b">
        <f t="shared" si="1"/>
        <v>1</v>
      </c>
      <c r="Q110" s="1" t="b">
        <f t="shared" si="1"/>
        <v>1</v>
      </c>
    </row>
    <row r="111" spans="1:17">
      <c r="A111" s="1"/>
      <c r="B111" t="s">
        <v>19</v>
      </c>
      <c r="C111" s="1">
        <v>513.66900544888472</v>
      </c>
      <c r="D111" s="1">
        <v>108.95081799538883</v>
      </c>
      <c r="E111" s="1">
        <v>113.51199999999994</v>
      </c>
      <c r="F111" s="1">
        <v>119.07625612652819</v>
      </c>
      <c r="G111" s="1"/>
      <c r="I111" s="1">
        <v>513.66900544888472</v>
      </c>
      <c r="J111" s="1">
        <v>108.95081799538883</v>
      </c>
      <c r="K111" s="1">
        <v>113.51199999999994</v>
      </c>
      <c r="L111" s="1">
        <v>119.07625612652819</v>
      </c>
      <c r="N111" s="1" t="b">
        <f>indexTable[[#This Row],[Labour]]=I111</f>
        <v>1</v>
      </c>
      <c r="O111" s="1" t="b">
        <f t="shared" si="0"/>
        <v>1</v>
      </c>
      <c r="P111" s="1" t="b">
        <f t="shared" si="1"/>
        <v>1</v>
      </c>
      <c r="Q111" s="1" t="b">
        <f t="shared" si="1"/>
        <v>1</v>
      </c>
    </row>
    <row r="112" spans="1:17">
      <c r="A112" s="1">
        <v>2021.02</v>
      </c>
      <c r="B112" t="s">
        <v>20</v>
      </c>
      <c r="C112" s="1">
        <v>511.96033470711359</v>
      </c>
      <c r="D112" s="1">
        <v>109.37220000000001</v>
      </c>
      <c r="E112" s="1">
        <v>113.512</v>
      </c>
      <c r="F112" s="1">
        <v>118.53216999999999</v>
      </c>
      <c r="G112" s="1"/>
      <c r="I112" s="1">
        <v>511.96033470711359</v>
      </c>
      <c r="J112" s="1">
        <v>109.37220000000001</v>
      </c>
      <c r="K112" s="1">
        <v>113.512</v>
      </c>
      <c r="L112" s="1">
        <v>118.53216999999999</v>
      </c>
      <c r="N112" s="1" t="b">
        <f>indexTable[[#This Row],[Labour]]=I112</f>
        <v>1</v>
      </c>
      <c r="O112" s="1" t="b">
        <f t="shared" si="0"/>
        <v>1</v>
      </c>
      <c r="P112" s="1" t="b">
        <f t="shared" si="1"/>
        <v>1</v>
      </c>
      <c r="Q112" s="1" t="b">
        <f t="shared" si="1"/>
        <v>1</v>
      </c>
    </row>
    <row r="113" spans="1:17">
      <c r="A113" s="1">
        <v>2021.03</v>
      </c>
      <c r="B113" t="s">
        <v>21</v>
      </c>
      <c r="C113" s="1">
        <v>514.52547814384309</v>
      </c>
      <c r="D113" s="1">
        <v>108.20650000000001</v>
      </c>
      <c r="E113" s="1">
        <v>113.512</v>
      </c>
      <c r="F113" s="1">
        <v>118.75336</v>
      </c>
      <c r="G113" s="1"/>
      <c r="I113" s="1">
        <v>514.52547814384309</v>
      </c>
      <c r="J113" s="1">
        <v>108.20650000000001</v>
      </c>
      <c r="K113" s="1">
        <v>113.512</v>
      </c>
      <c r="L113" s="1">
        <v>118.75336</v>
      </c>
      <c r="N113" s="1" t="b">
        <f>indexTable[[#This Row],[Labour]]=I113</f>
        <v>1</v>
      </c>
      <c r="O113" s="1" t="b">
        <f t="shared" si="0"/>
        <v>1</v>
      </c>
      <c r="P113" s="1" t="b">
        <f t="shared" si="1"/>
        <v>1</v>
      </c>
      <c r="Q113" s="1" t="b">
        <f t="shared" si="1"/>
        <v>1</v>
      </c>
    </row>
    <row r="114" spans="1:17">
      <c r="A114" s="1">
        <v>2021.04</v>
      </c>
      <c r="B114" t="s">
        <v>22</v>
      </c>
      <c r="C114" s="1">
        <v>514.52547814384309</v>
      </c>
      <c r="D114" s="1">
        <v>109.27761</v>
      </c>
      <c r="E114" s="1">
        <v>113.512</v>
      </c>
      <c r="F114" s="1">
        <v>119.9481</v>
      </c>
      <c r="G114" s="1"/>
      <c r="I114" s="1">
        <v>514.52547814384309</v>
      </c>
      <c r="J114" s="1">
        <v>109.27761</v>
      </c>
      <c r="K114" s="1">
        <v>113.512</v>
      </c>
      <c r="L114" s="1">
        <v>119.9481</v>
      </c>
      <c r="N114" s="1" t="b">
        <f>indexTable[[#This Row],[Labour]]=I114</f>
        <v>1</v>
      </c>
      <c r="O114" s="1" t="b">
        <f t="shared" si="0"/>
        <v>1</v>
      </c>
      <c r="P114" s="1" t="b">
        <f t="shared" si="1"/>
        <v>1</v>
      </c>
      <c r="Q114" s="1" t="b">
        <f t="shared" si="1"/>
        <v>1</v>
      </c>
    </row>
    <row r="115" spans="1:17">
      <c r="A115" s="1"/>
      <c r="C115" s="1"/>
      <c r="D115" s="1"/>
      <c r="E115" s="1"/>
      <c r="F115" s="1"/>
      <c r="G115" s="1"/>
      <c r="N115" s="1" t="b">
        <f>indexTable[[#This Row],[Labour]]=I115</f>
        <v>1</v>
      </c>
      <c r="O115" s="1" t="b">
        <f t="shared" si="0"/>
        <v>1</v>
      </c>
      <c r="P115" s="1" t="b">
        <f t="shared" si="1"/>
        <v>1</v>
      </c>
      <c r="Q115" s="1" t="b">
        <f t="shared" si="1"/>
        <v>1</v>
      </c>
    </row>
    <row r="116" spans="1:17">
      <c r="A116" s="1"/>
      <c r="B116" t="s">
        <v>23</v>
      </c>
      <c r="C116" s="1">
        <v>517.43581782750221</v>
      </c>
      <c r="D116" s="1">
        <v>112.47845053565939</v>
      </c>
      <c r="E116" s="1">
        <v>113.68746999999991</v>
      </c>
      <c r="F116" s="1">
        <v>122.89878280190646</v>
      </c>
      <c r="G116" s="1"/>
      <c r="I116" s="1">
        <v>517.43581782750221</v>
      </c>
      <c r="J116" s="1">
        <v>112.47845053565939</v>
      </c>
      <c r="K116" s="1">
        <v>113.68746999999991</v>
      </c>
      <c r="L116" s="1">
        <v>122.89878280190646</v>
      </c>
      <c r="N116" s="1" t="b">
        <f>indexTable[[#This Row],[Labour]]=I116</f>
        <v>1</v>
      </c>
      <c r="O116" s="1" t="b">
        <f t="shared" si="0"/>
        <v>1</v>
      </c>
      <c r="P116" s="1" t="b">
        <f t="shared" si="1"/>
        <v>1</v>
      </c>
      <c r="Q116" s="1" t="b">
        <f t="shared" si="1"/>
        <v>1</v>
      </c>
    </row>
    <row r="117" spans="1:17">
      <c r="A117" s="1">
        <v>2021.05</v>
      </c>
      <c r="B117" t="s">
        <v>24</v>
      </c>
      <c r="C117" s="1">
        <v>514.52547814384309</v>
      </c>
      <c r="D117" s="1">
        <v>111.41915</v>
      </c>
      <c r="E117" s="1">
        <v>113.68747</v>
      </c>
      <c r="F117" s="1">
        <v>121.428856</v>
      </c>
      <c r="G117" s="1"/>
      <c r="I117" s="1">
        <v>514.52547814384309</v>
      </c>
      <c r="J117" s="1">
        <v>111.41915</v>
      </c>
      <c r="K117" s="1">
        <v>113.68747</v>
      </c>
      <c r="L117" s="1">
        <v>121.428856</v>
      </c>
      <c r="N117" s="1" t="b">
        <f>indexTable[[#This Row],[Labour]]=I117</f>
        <v>1</v>
      </c>
      <c r="O117" s="1" t="b">
        <f t="shared" si="0"/>
        <v>1</v>
      </c>
      <c r="P117" s="1" t="b">
        <f t="shared" si="1"/>
        <v>1</v>
      </c>
      <c r="Q117" s="1" t="b">
        <f t="shared" si="1"/>
        <v>1</v>
      </c>
    </row>
    <row r="118" spans="1:17">
      <c r="A118" s="1">
        <v>2021.06</v>
      </c>
      <c r="B118" t="s">
        <v>25</v>
      </c>
      <c r="C118" s="1">
        <v>515.84706404692679</v>
      </c>
      <c r="D118" s="1">
        <v>111.89505</v>
      </c>
      <c r="E118" s="1">
        <v>113.68747</v>
      </c>
      <c r="F118" s="1">
        <v>122.31238999999999</v>
      </c>
      <c r="G118" s="1"/>
      <c r="I118" s="1">
        <v>515.84706404692679</v>
      </c>
      <c r="J118" s="1">
        <v>111.89505</v>
      </c>
      <c r="K118" s="1">
        <v>113.68747</v>
      </c>
      <c r="L118" s="1">
        <v>122.31238999999999</v>
      </c>
      <c r="N118" s="1" t="b">
        <f>indexTable[[#This Row],[Labour]]=I118</f>
        <v>1</v>
      </c>
      <c r="O118" s="1" t="b">
        <f t="shared" si="0"/>
        <v>1</v>
      </c>
      <c r="P118" s="1" t="b">
        <f t="shared" si="1"/>
        <v>1</v>
      </c>
      <c r="Q118" s="1" t="b">
        <f t="shared" si="1"/>
        <v>1</v>
      </c>
    </row>
    <row r="119" spans="1:17">
      <c r="A119" s="1">
        <v>2021.07</v>
      </c>
      <c r="B119" t="s">
        <v>26</v>
      </c>
      <c r="C119" s="1">
        <v>521.96528063896278</v>
      </c>
      <c r="D119" s="1">
        <v>114.13984000000001</v>
      </c>
      <c r="E119" s="1">
        <v>113.68747</v>
      </c>
      <c r="F119" s="1">
        <v>124.98284</v>
      </c>
      <c r="G119" s="1"/>
      <c r="I119" s="1">
        <v>521.96528063896278</v>
      </c>
      <c r="J119" s="1">
        <v>114.13984000000001</v>
      </c>
      <c r="K119" s="1">
        <v>113.68747</v>
      </c>
      <c r="L119" s="1">
        <v>124.98284</v>
      </c>
      <c r="N119" s="1" t="b">
        <f>indexTable[[#This Row],[Labour]]=I119</f>
        <v>1</v>
      </c>
      <c r="O119" s="1" t="b">
        <f t="shared" si="0"/>
        <v>1</v>
      </c>
      <c r="P119" s="1" t="b">
        <f t="shared" si="1"/>
        <v>1</v>
      </c>
      <c r="Q119" s="1" t="b">
        <f t="shared" si="1"/>
        <v>1</v>
      </c>
    </row>
    <row r="120" spans="1:17">
      <c r="A120" s="1"/>
      <c r="C120" s="1"/>
      <c r="D120" s="1"/>
      <c r="E120" s="1"/>
      <c r="F120" s="1"/>
      <c r="G120" s="1"/>
      <c r="N120" s="1" t="b">
        <f>indexTable[[#This Row],[Labour]]=I120</f>
        <v>1</v>
      </c>
      <c r="O120" s="1" t="b">
        <f t="shared" si="0"/>
        <v>1</v>
      </c>
      <c r="P120" s="1" t="b">
        <f t="shared" si="1"/>
        <v>1</v>
      </c>
      <c r="Q120" s="1" t="b">
        <f t="shared" si="1"/>
        <v>1</v>
      </c>
    </row>
    <row r="121" spans="1:17">
      <c r="A121" s="1"/>
      <c r="B121" t="s">
        <v>48</v>
      </c>
      <c r="C121" s="1">
        <v>532.05088668239353</v>
      </c>
      <c r="D121" s="1">
        <v>128.31283983932812</v>
      </c>
      <c r="E121" s="1">
        <v>122.67437395232467</v>
      </c>
      <c r="F121" s="1">
        <v>133.70022794233833</v>
      </c>
      <c r="G121" s="1"/>
      <c r="I121" s="1">
        <v>532.05088668239353</v>
      </c>
      <c r="J121" s="1">
        <v>128.31283983932812</v>
      </c>
      <c r="K121" s="1">
        <v>122.67437395232467</v>
      </c>
      <c r="L121" s="1">
        <v>133.70022794233833</v>
      </c>
      <c r="N121" s="1" t="b">
        <f>indexTable[[#This Row],[Labour]]=I121</f>
        <v>1</v>
      </c>
      <c r="O121" s="1" t="b">
        <f t="shared" si="0"/>
        <v>1</v>
      </c>
      <c r="P121" s="1" t="b">
        <f t="shared" si="1"/>
        <v>1</v>
      </c>
      <c r="Q121" s="1" t="b">
        <f t="shared" si="1"/>
        <v>1</v>
      </c>
    </row>
    <row r="122" spans="1:17">
      <c r="A122" s="1"/>
      <c r="B122" t="s">
        <v>11</v>
      </c>
      <c r="C122" s="1">
        <v>523.74690026221128</v>
      </c>
      <c r="D122" s="1">
        <v>116.2268937496017</v>
      </c>
      <c r="E122" s="1">
        <v>120.54096000000003</v>
      </c>
      <c r="F122" s="1">
        <v>128.62719240192527</v>
      </c>
      <c r="G122" s="1"/>
      <c r="I122" s="1">
        <v>523.74690026221128</v>
      </c>
      <c r="J122" s="1">
        <v>116.2268937496017</v>
      </c>
      <c r="K122" s="1">
        <v>120.54096000000003</v>
      </c>
      <c r="L122" s="1">
        <v>128.62719240192527</v>
      </c>
      <c r="N122" s="1" t="b">
        <f>indexTable[[#This Row],[Labour]]=I122</f>
        <v>1</v>
      </c>
      <c r="O122" s="1" t="b">
        <f t="shared" si="0"/>
        <v>1</v>
      </c>
      <c r="P122" s="1" t="b">
        <f t="shared" si="1"/>
        <v>1</v>
      </c>
      <c r="Q122" s="1" t="b">
        <f t="shared" si="1"/>
        <v>1</v>
      </c>
    </row>
    <row r="123" spans="1:17">
      <c r="A123" s="1">
        <v>2021.08</v>
      </c>
      <c r="B123" t="s">
        <v>12</v>
      </c>
      <c r="C123" s="1">
        <v>523.74690026221117</v>
      </c>
      <c r="D123" s="1">
        <v>116.11561</v>
      </c>
      <c r="E123" s="1">
        <v>120.54096</v>
      </c>
      <c r="F123" s="1">
        <v>127.78157</v>
      </c>
      <c r="G123" s="1"/>
      <c r="I123" s="1">
        <v>523.74690026221117</v>
      </c>
      <c r="J123" s="1">
        <v>116.11561</v>
      </c>
      <c r="K123" s="1">
        <v>120.54096</v>
      </c>
      <c r="L123" s="1">
        <v>127.78157</v>
      </c>
      <c r="N123" s="1" t="b">
        <f>indexTable[[#This Row],[Labour]]=I123</f>
        <v>1</v>
      </c>
      <c r="O123" s="1" t="b">
        <f t="shared" si="0"/>
        <v>1</v>
      </c>
      <c r="P123" s="1" t="b">
        <f t="shared" si="1"/>
        <v>1</v>
      </c>
      <c r="Q123" s="1" t="b">
        <f t="shared" si="1"/>
        <v>1</v>
      </c>
    </row>
    <row r="124" spans="1:17">
      <c r="A124" s="1">
        <v>2021.09</v>
      </c>
      <c r="B124" t="s">
        <v>13</v>
      </c>
      <c r="C124" s="1">
        <v>523.74690026221117</v>
      </c>
      <c r="D124" s="1">
        <v>116.20729</v>
      </c>
      <c r="E124" s="1">
        <v>120.54096</v>
      </c>
      <c r="F124" s="1">
        <v>128.15424999999999</v>
      </c>
      <c r="G124" s="1"/>
      <c r="I124" s="1">
        <v>523.74690026221117</v>
      </c>
      <c r="J124" s="1">
        <v>116.20729</v>
      </c>
      <c r="K124" s="1">
        <v>120.54096</v>
      </c>
      <c r="L124" s="1">
        <v>128.15424999999999</v>
      </c>
      <c r="N124" s="1" t="b">
        <f>indexTable[[#This Row],[Labour]]=I124</f>
        <v>1</v>
      </c>
      <c r="O124" s="1" t="b">
        <f t="shared" si="0"/>
        <v>1</v>
      </c>
      <c r="P124" s="1" t="b">
        <f t="shared" si="1"/>
        <v>1</v>
      </c>
      <c r="Q124" s="1" t="b">
        <f t="shared" si="1"/>
        <v>1</v>
      </c>
    </row>
    <row r="125" spans="1:17">
      <c r="A125" s="1">
        <v>2021.1</v>
      </c>
      <c r="B125" t="s">
        <v>14</v>
      </c>
      <c r="C125" s="1">
        <v>523.74690026221117</v>
      </c>
      <c r="D125" s="1">
        <v>116.35791</v>
      </c>
      <c r="E125" s="1">
        <v>120.54096</v>
      </c>
      <c r="F125" s="1">
        <v>129.95624000000001</v>
      </c>
      <c r="G125" s="1"/>
      <c r="I125" s="1">
        <v>523.74690026221117</v>
      </c>
      <c r="J125" s="1">
        <v>116.35791</v>
      </c>
      <c r="K125" s="1">
        <v>120.54096</v>
      </c>
      <c r="L125" s="1">
        <v>129.95624000000001</v>
      </c>
      <c r="N125" s="1" t="b">
        <f>indexTable[[#This Row],[Labour]]=I125</f>
        <v>1</v>
      </c>
      <c r="O125" s="1" t="b">
        <f t="shared" si="0"/>
        <v>1</v>
      </c>
      <c r="P125" s="1" t="b">
        <f t="shared" si="1"/>
        <v>1</v>
      </c>
      <c r="Q125" s="1" t="b">
        <f t="shared" si="1"/>
        <v>1</v>
      </c>
    </row>
    <row r="126" spans="1:17">
      <c r="A126" s="1"/>
      <c r="C126" s="1"/>
      <c r="D126" s="1"/>
      <c r="E126" s="1"/>
      <c r="F126" s="1"/>
      <c r="G126" s="1"/>
      <c r="N126" s="1" t="b">
        <f>indexTable[[#This Row],[Labour]]=I126</f>
        <v>1</v>
      </c>
      <c r="O126" s="1" t="b">
        <f t="shared" si="0"/>
        <v>1</v>
      </c>
      <c r="P126" s="1" t="b">
        <f t="shared" si="1"/>
        <v>1</v>
      </c>
      <c r="Q126" s="1" t="b">
        <f t="shared" si="1"/>
        <v>1</v>
      </c>
    </row>
    <row r="127" spans="1:17">
      <c r="A127" s="1"/>
      <c r="B127" t="s">
        <v>15</v>
      </c>
      <c r="C127" s="1">
        <v>526.14143353014833</v>
      </c>
      <c r="D127" s="1">
        <v>125.5948204089473</v>
      </c>
      <c r="E127" s="1">
        <v>122.78873999999995</v>
      </c>
      <c r="F127" s="1">
        <v>131.6314048476911</v>
      </c>
      <c r="G127" s="1"/>
      <c r="I127" s="1">
        <v>526.14143353014833</v>
      </c>
      <c r="J127" s="1">
        <v>125.5948204089473</v>
      </c>
      <c r="K127" s="1">
        <v>122.78873999999995</v>
      </c>
      <c r="L127" s="1">
        <v>131.6314048476911</v>
      </c>
      <c r="N127" s="1" t="b">
        <f>indexTable[[#This Row],[Labour]]=I127</f>
        <v>1</v>
      </c>
      <c r="O127" s="1" t="b">
        <f t="shared" si="0"/>
        <v>1</v>
      </c>
      <c r="P127" s="1" t="b">
        <f t="shared" si="1"/>
        <v>1</v>
      </c>
      <c r="Q127" s="1" t="b">
        <f t="shared" si="1"/>
        <v>1</v>
      </c>
    </row>
    <row r="128" spans="1:17">
      <c r="A128" s="1">
        <v>2021.11</v>
      </c>
      <c r="B128" t="s">
        <v>16</v>
      </c>
      <c r="C128" s="1">
        <v>524.63804289344193</v>
      </c>
      <c r="D128" s="1">
        <v>125.55852</v>
      </c>
      <c r="E128" s="1">
        <v>122.78874</v>
      </c>
      <c r="F128" s="1">
        <v>133.64684</v>
      </c>
      <c r="G128" s="1"/>
      <c r="I128" s="1">
        <v>524.63804289344193</v>
      </c>
      <c r="J128" s="1">
        <v>125.55852</v>
      </c>
      <c r="K128" s="1">
        <v>122.78874</v>
      </c>
      <c r="L128" s="1">
        <v>133.64684</v>
      </c>
      <c r="N128" s="1" t="b">
        <f>indexTable[[#This Row],[Labour]]=I128</f>
        <v>1</v>
      </c>
      <c r="O128" s="1" t="b">
        <f t="shared" si="0"/>
        <v>1</v>
      </c>
      <c r="P128" s="1" t="b">
        <f t="shared" si="1"/>
        <v>1</v>
      </c>
      <c r="Q128" s="1" t="b">
        <f t="shared" si="1"/>
        <v>1</v>
      </c>
    </row>
    <row r="129" spans="1:17">
      <c r="A129" s="1">
        <v>2021.12</v>
      </c>
      <c r="B129" t="s">
        <v>17</v>
      </c>
      <c r="C129" s="1">
        <v>526.8947436082924</v>
      </c>
      <c r="D129" s="1">
        <v>125.35019</v>
      </c>
      <c r="E129" s="1">
        <v>122.78874</v>
      </c>
      <c r="F129" s="1">
        <v>131.78209000000001</v>
      </c>
      <c r="G129" s="1"/>
      <c r="I129" s="1">
        <v>526.8947436082924</v>
      </c>
      <c r="J129" s="1">
        <v>125.35019</v>
      </c>
      <c r="K129" s="1">
        <v>122.78874</v>
      </c>
      <c r="L129" s="1">
        <v>131.78209000000001</v>
      </c>
      <c r="N129" s="1" t="b">
        <f>indexTable[[#This Row],[Labour]]=I129</f>
        <v>1</v>
      </c>
      <c r="O129" s="1" t="b">
        <f t="shared" si="0"/>
        <v>1</v>
      </c>
      <c r="P129" s="1" t="b">
        <f t="shared" si="1"/>
        <v>1</v>
      </c>
      <c r="Q129" s="1" t="b">
        <f t="shared" si="1"/>
        <v>1</v>
      </c>
    </row>
    <row r="130" spans="1:17">
      <c r="A130" s="1">
        <v>2022.01</v>
      </c>
      <c r="B130" t="s">
        <v>18</v>
      </c>
      <c r="C130" s="1">
        <v>526.8947436082924</v>
      </c>
      <c r="D130" s="1">
        <v>125.87631</v>
      </c>
      <c r="E130" s="1">
        <v>122.78874</v>
      </c>
      <c r="F130" s="1">
        <v>129.49812</v>
      </c>
      <c r="G130" s="1"/>
      <c r="I130" s="1">
        <v>526.8947436082924</v>
      </c>
      <c r="J130" s="1">
        <v>125.87631</v>
      </c>
      <c r="K130" s="1">
        <v>122.78874</v>
      </c>
      <c r="L130" s="1">
        <v>129.49812</v>
      </c>
      <c r="N130" s="1" t="b">
        <f>indexTable[[#This Row],[Labour]]=I130</f>
        <v>1</v>
      </c>
      <c r="O130" s="1" t="b">
        <f t="shared" si="0"/>
        <v>1</v>
      </c>
      <c r="P130" s="1" t="b">
        <f t="shared" si="1"/>
        <v>1</v>
      </c>
      <c r="Q130" s="1" t="b">
        <f t="shared" si="1"/>
        <v>1</v>
      </c>
    </row>
    <row r="131" spans="1:17">
      <c r="A131" s="1"/>
      <c r="C131" s="1"/>
      <c r="D131" s="1"/>
      <c r="E131" s="1"/>
      <c r="F131" s="1"/>
      <c r="G131" s="1"/>
      <c r="N131" s="1" t="b">
        <f>indexTable[[#This Row],[Labour]]=I131</f>
        <v>1</v>
      </c>
      <c r="O131" s="1" t="b">
        <f t="shared" si="0"/>
        <v>1</v>
      </c>
      <c r="P131" s="1" t="b">
        <f t="shared" si="1"/>
        <v>1</v>
      </c>
      <c r="Q131" s="1" t="b">
        <f t="shared" si="1"/>
        <v>1</v>
      </c>
    </row>
    <row r="132" spans="1:17">
      <c r="A132" s="1"/>
      <c r="B132" t="s">
        <v>19</v>
      </c>
      <c r="C132" s="1">
        <v>533.88628278127123</v>
      </c>
      <c r="D132" s="1">
        <v>132.87754179664594</v>
      </c>
      <c r="E132" s="1">
        <v>122.931854</v>
      </c>
      <c r="F132" s="1">
        <v>134.1003472888475</v>
      </c>
      <c r="G132" s="1"/>
      <c r="I132" s="1">
        <v>533.88628278127123</v>
      </c>
      <c r="J132" s="1">
        <v>132.87754179664594</v>
      </c>
      <c r="K132" s="1">
        <v>122.931854</v>
      </c>
      <c r="L132" s="1">
        <v>134.1003472888475</v>
      </c>
      <c r="N132" s="1" t="b">
        <f>indexTable[[#This Row],[Labour]]=I132</f>
        <v>1</v>
      </c>
      <c r="O132" s="1" t="b">
        <f t="shared" si="0"/>
        <v>1</v>
      </c>
      <c r="P132" s="1" t="b">
        <f t="shared" si="1"/>
        <v>1</v>
      </c>
      <c r="Q132" s="1" t="b">
        <f t="shared" si="1"/>
        <v>1</v>
      </c>
    </row>
    <row r="133" spans="1:17">
      <c r="A133" s="1">
        <v>2022.02</v>
      </c>
      <c r="B133" t="s">
        <v>20</v>
      </c>
      <c r="C133" s="1">
        <v>526.8947436082924</v>
      </c>
      <c r="D133" s="1">
        <v>127.536804</v>
      </c>
      <c r="E133" s="1">
        <v>122.931854</v>
      </c>
      <c r="F133" s="1">
        <v>130.79031000000001</v>
      </c>
      <c r="G133" s="1"/>
      <c r="I133" s="1">
        <v>526.8947436082924</v>
      </c>
      <c r="J133" s="1">
        <v>127.536804</v>
      </c>
      <c r="K133" s="1">
        <v>122.931854</v>
      </c>
      <c r="L133" s="1">
        <v>130.79031000000001</v>
      </c>
      <c r="N133" s="1" t="b">
        <f>indexTable[[#This Row],[Labour]]=I133</f>
        <v>1</v>
      </c>
      <c r="O133" s="1" t="b">
        <f t="shared" si="0"/>
        <v>1</v>
      </c>
      <c r="P133" s="1" t="b">
        <f t="shared" si="1"/>
        <v>1</v>
      </c>
      <c r="Q133" s="1" t="b">
        <f t="shared" si="1"/>
        <v>1</v>
      </c>
    </row>
    <row r="134" spans="1:17">
      <c r="A134" s="1">
        <v>2022.03</v>
      </c>
      <c r="B134" t="s">
        <v>21</v>
      </c>
      <c r="C134" s="1">
        <v>533.10235907247784</v>
      </c>
      <c r="D134" s="1">
        <v>134.43776</v>
      </c>
      <c r="E134" s="1">
        <v>122.931854</v>
      </c>
      <c r="F134" s="1">
        <v>134.34395000000001</v>
      </c>
      <c r="G134" s="1"/>
      <c r="I134" s="1">
        <v>533.10235907247784</v>
      </c>
      <c r="J134" s="1">
        <v>134.43776</v>
      </c>
      <c r="K134" s="1">
        <v>122.931854</v>
      </c>
      <c r="L134" s="1">
        <v>134.34395000000001</v>
      </c>
      <c r="N134" s="1" t="b">
        <f>indexTable[[#This Row],[Labour]]=I134</f>
        <v>1</v>
      </c>
      <c r="O134" s="1" t="b">
        <f t="shared" si="0"/>
        <v>1</v>
      </c>
      <c r="P134" s="1" t="b">
        <f t="shared" si="1"/>
        <v>1</v>
      </c>
      <c r="Q134" s="1" t="b">
        <f t="shared" si="1"/>
        <v>1</v>
      </c>
    </row>
    <row r="135" spans="1:17">
      <c r="A135" s="1">
        <v>2022.04</v>
      </c>
      <c r="B135" t="s">
        <v>22</v>
      </c>
      <c r="C135" s="1">
        <v>541.76608888158205</v>
      </c>
      <c r="D135" s="1">
        <v>136.83524</v>
      </c>
      <c r="E135" s="1">
        <v>122.931854</v>
      </c>
      <c r="F135" s="1">
        <v>137.24484000000001</v>
      </c>
      <c r="G135" s="1"/>
      <c r="I135" s="1">
        <v>541.76608888158205</v>
      </c>
      <c r="J135" s="1">
        <v>136.83524</v>
      </c>
      <c r="K135" s="1">
        <v>122.931854</v>
      </c>
      <c r="L135" s="1">
        <v>137.24484000000001</v>
      </c>
      <c r="N135" s="1" t="b">
        <f>indexTable[[#This Row],[Labour]]=I135</f>
        <v>1</v>
      </c>
      <c r="O135" s="1" t="b">
        <f t="shared" si="0"/>
        <v>1</v>
      </c>
      <c r="P135" s="1" t="b">
        <f t="shared" si="1"/>
        <v>1</v>
      </c>
      <c r="Q135" s="1" t="b">
        <f t="shared" si="1"/>
        <v>1</v>
      </c>
    </row>
    <row r="136" spans="1:17">
      <c r="A136" s="1"/>
      <c r="C136" s="1"/>
      <c r="D136" s="1"/>
      <c r="E136" s="1"/>
      <c r="F136" s="1"/>
      <c r="G136" s="1"/>
      <c r="N136" s="1" t="b">
        <f>indexTable[[#This Row],[Labour]]=I136</f>
        <v>1</v>
      </c>
      <c r="O136" s="1" t="b">
        <f t="shared" si="0"/>
        <v>1</v>
      </c>
      <c r="P136" s="1" t="b">
        <f t="shared" si="1"/>
        <v>1</v>
      </c>
      <c r="Q136" s="1" t="b">
        <f t="shared" si="1"/>
        <v>1</v>
      </c>
    </row>
    <row r="137" spans="1:17">
      <c r="A137" s="1"/>
      <c r="B137" t="s">
        <v>23</v>
      </c>
      <c r="C137" s="1">
        <v>544.67814932224121</v>
      </c>
      <c r="D137" s="1">
        <v>139.74958351802152</v>
      </c>
      <c r="E137" s="1">
        <v>124.46801999999997</v>
      </c>
      <c r="F137" s="1">
        <v>140.73638180980547</v>
      </c>
      <c r="G137" s="1"/>
      <c r="I137" s="1">
        <v>544.67814932224121</v>
      </c>
      <c r="J137" s="1">
        <v>139.74958351802152</v>
      </c>
      <c r="K137" s="1">
        <v>124.46801999999997</v>
      </c>
      <c r="L137" s="1">
        <v>140.73638180980547</v>
      </c>
      <c r="N137" s="1" t="b">
        <f>indexTable[[#This Row],[Labour]]=I137</f>
        <v>1</v>
      </c>
      <c r="O137" s="1" t="b">
        <f t="shared" si="0"/>
        <v>1</v>
      </c>
      <c r="P137" s="1" t="b">
        <f t="shared" si="1"/>
        <v>1</v>
      </c>
      <c r="Q137" s="1" t="b">
        <f t="shared" si="1"/>
        <v>1</v>
      </c>
    </row>
    <row r="138" spans="1:17">
      <c r="A138" s="1">
        <v>2022.05</v>
      </c>
      <c r="B138" t="s">
        <v>24</v>
      </c>
      <c r="C138" s="1">
        <v>541.81853276662503</v>
      </c>
      <c r="D138" s="1">
        <v>141.30508</v>
      </c>
      <c r="E138" s="1">
        <v>124.46802</v>
      </c>
      <c r="F138" s="1">
        <v>140.92689999999999</v>
      </c>
      <c r="G138" s="1"/>
      <c r="I138" s="1">
        <v>541.81853276662514</v>
      </c>
      <c r="J138" s="1">
        <v>141.30508</v>
      </c>
      <c r="K138" s="1">
        <v>124.46802</v>
      </c>
      <c r="L138" s="1">
        <v>140.92689999999999</v>
      </c>
      <c r="N138" s="1" t="b">
        <f>indexTable[[#This Row],[Labour]]=I138</f>
        <v>1</v>
      </c>
      <c r="O138" s="1" t="b">
        <f t="shared" si="0"/>
        <v>1</v>
      </c>
      <c r="P138" s="1" t="b">
        <f t="shared" si="1"/>
        <v>1</v>
      </c>
      <c r="Q138" s="1" t="b">
        <f t="shared" si="1"/>
        <v>1</v>
      </c>
    </row>
    <row r="139" spans="1:17">
      <c r="A139" s="1">
        <v>2022.06</v>
      </c>
      <c r="B139" t="s">
        <v>25</v>
      </c>
      <c r="C139" s="1">
        <v>541.81853276662503</v>
      </c>
      <c r="D139" s="1">
        <v>140.15342999999999</v>
      </c>
      <c r="E139" s="1">
        <v>124.46802</v>
      </c>
      <c r="F139" s="1">
        <v>140.37593000000001</v>
      </c>
      <c r="G139" s="1"/>
      <c r="I139" s="1">
        <v>541.81853276662514</v>
      </c>
      <c r="J139" s="1">
        <v>140.15342999999999</v>
      </c>
      <c r="K139" s="1">
        <v>124.46802</v>
      </c>
      <c r="L139" s="1">
        <v>140.37593000000001</v>
      </c>
      <c r="N139" s="1" t="b">
        <f>indexTable[[#This Row],[Labour]]=I139</f>
        <v>1</v>
      </c>
      <c r="O139" s="1" t="b">
        <f t="shared" si="0"/>
        <v>1</v>
      </c>
      <c r="P139" s="1" t="b">
        <f t="shared" si="1"/>
        <v>1</v>
      </c>
      <c r="Q139" s="1" t="b">
        <f t="shared" si="1"/>
        <v>1</v>
      </c>
    </row>
    <row r="140" spans="1:17">
      <c r="A140" s="1">
        <v>2022.07</v>
      </c>
      <c r="B140" t="s">
        <v>26</v>
      </c>
      <c r="C140" s="1">
        <v>550.44273964787089</v>
      </c>
      <c r="D140" s="1">
        <v>137.81296</v>
      </c>
      <c r="E140" s="1">
        <v>124.46802</v>
      </c>
      <c r="F140" s="1">
        <v>140.90701000000001</v>
      </c>
      <c r="G140" s="1"/>
      <c r="I140" s="1">
        <v>550.44273964787089</v>
      </c>
      <c r="J140" s="1">
        <v>137.81296</v>
      </c>
      <c r="K140" s="1">
        <v>124.46802</v>
      </c>
      <c r="L140" s="1">
        <v>140.90701000000001</v>
      </c>
      <c r="N140" s="1" t="b">
        <f>indexTable[[#This Row],[Labour]]=I140</f>
        <v>1</v>
      </c>
      <c r="O140" s="1" t="b">
        <f t="shared" si="0"/>
        <v>1</v>
      </c>
      <c r="P140" s="1" t="b">
        <f t="shared" si="1"/>
        <v>1</v>
      </c>
      <c r="Q140" s="1" t="b">
        <f t="shared" si="1"/>
        <v>1</v>
      </c>
    </row>
    <row r="141" spans="1:17">
      <c r="A141" s="1"/>
      <c r="C141" s="1"/>
      <c r="D141" s="1"/>
      <c r="E141" s="1"/>
      <c r="F141" s="1"/>
      <c r="G141" s="1"/>
      <c r="N141" s="1" t="b">
        <f>indexTable[[#This Row],[Labour]]=I141</f>
        <v>1</v>
      </c>
      <c r="O141" s="1" t="b">
        <f t="shared" si="0"/>
        <v>1</v>
      </c>
      <c r="P141" s="1" t="b">
        <f t="shared" si="1"/>
        <v>1</v>
      </c>
      <c r="Q141" s="1" t="b">
        <f t="shared" si="1"/>
        <v>1</v>
      </c>
    </row>
    <row r="142" spans="1:17">
      <c r="A142" s="1"/>
      <c r="B142" t="s">
        <v>75</v>
      </c>
      <c r="C142" s="1">
        <v>575.95768964184083</v>
      </c>
      <c r="D142" s="1">
        <v>141.15360945960461</v>
      </c>
      <c r="E142" s="1">
        <v>131.4833738077684</v>
      </c>
      <c r="F142" s="1">
        <v>145.09964416903426</v>
      </c>
      <c r="G142" s="1"/>
      <c r="I142" s="1">
        <v>575.95768964184083</v>
      </c>
      <c r="J142" s="1">
        <v>141.15360945960461</v>
      </c>
      <c r="K142" s="1">
        <v>131.4833738077684</v>
      </c>
      <c r="L142" s="1">
        <v>145.09964416903426</v>
      </c>
      <c r="N142" s="1" t="b">
        <f>indexTable[[#This Row],[Labour]]=I142</f>
        <v>1</v>
      </c>
      <c r="O142" s="1" t="b">
        <f t="shared" si="0"/>
        <v>1</v>
      </c>
      <c r="P142" s="1" t="b">
        <f t="shared" si="1"/>
        <v>1</v>
      </c>
      <c r="Q142" s="1" t="b">
        <f t="shared" si="1"/>
        <v>1</v>
      </c>
    </row>
    <row r="143" spans="1:17">
      <c r="A143" s="1"/>
      <c r="B143" t="s">
        <v>11</v>
      </c>
      <c r="C143" s="1">
        <v>572.05388386667619</v>
      </c>
      <c r="D143" s="1">
        <v>138.69542022225045</v>
      </c>
      <c r="E143" s="1">
        <v>130.10400000000001</v>
      </c>
      <c r="F143" s="1">
        <v>145.9090576814161</v>
      </c>
      <c r="G143" s="1"/>
      <c r="I143" s="1">
        <v>572.05388386667573</v>
      </c>
      <c r="J143" s="1">
        <v>138.69542022225045</v>
      </c>
      <c r="K143" s="1">
        <v>130.10399999999993</v>
      </c>
      <c r="L143" s="1">
        <v>145.90905768141604</v>
      </c>
      <c r="N143" s="1" t="b">
        <f>indexTable[[#This Row],[Labour]]=I143</f>
        <v>1</v>
      </c>
      <c r="O143" s="1" t="b">
        <f t="shared" si="0"/>
        <v>1</v>
      </c>
      <c r="P143" s="1" t="b">
        <f t="shared" si="1"/>
        <v>1</v>
      </c>
      <c r="Q143" s="1" t="b">
        <f t="shared" si="1"/>
        <v>1</v>
      </c>
    </row>
    <row r="144" spans="1:17">
      <c r="A144" s="1">
        <v>2022.08</v>
      </c>
      <c r="B144" t="s">
        <v>12</v>
      </c>
      <c r="C144" s="1">
        <v>571.04259181258897</v>
      </c>
      <c r="D144" s="1">
        <v>138.59886</v>
      </c>
      <c r="E144" s="1">
        <v>130.10400000000001</v>
      </c>
      <c r="F144" s="1">
        <v>143.85096999999999</v>
      </c>
      <c r="G144" s="1"/>
      <c r="I144" s="1">
        <v>571.04259181258897</v>
      </c>
      <c r="J144" s="1">
        <v>138.59886</v>
      </c>
      <c r="K144" s="1">
        <v>130.10400000000001</v>
      </c>
      <c r="L144" s="1">
        <v>143.85096999999999</v>
      </c>
      <c r="N144" s="1" t="b">
        <f>indexTable[[#This Row],[Labour]]=I144</f>
        <v>1</v>
      </c>
      <c r="O144" s="1" t="b">
        <f t="shared" si="0"/>
        <v>1</v>
      </c>
      <c r="P144" s="1" t="b">
        <f t="shared" si="1"/>
        <v>1</v>
      </c>
      <c r="Q144" s="1" t="b">
        <f t="shared" si="1"/>
        <v>1</v>
      </c>
    </row>
    <row r="145" spans="1:17">
      <c r="A145" s="1">
        <v>2022.09</v>
      </c>
      <c r="B145" t="s">
        <v>13</v>
      </c>
      <c r="C145" s="1">
        <v>572.5602013037668</v>
      </c>
      <c r="D145" s="1">
        <v>138.70862</v>
      </c>
      <c r="E145" s="1">
        <v>130.10400000000001</v>
      </c>
      <c r="F145" s="1">
        <v>146.10167999999999</v>
      </c>
      <c r="G145" s="1"/>
      <c r="I145" s="1">
        <v>572.5602013037668</v>
      </c>
      <c r="J145" s="1">
        <v>138.70862</v>
      </c>
      <c r="K145" s="1">
        <v>130.10400000000001</v>
      </c>
      <c r="L145" s="1">
        <v>146.10167999999999</v>
      </c>
      <c r="N145" s="1" t="b">
        <f>indexTable[[#This Row],[Labour]]=I145</f>
        <v>1</v>
      </c>
      <c r="O145" s="1" t="b">
        <f t="shared" si="0"/>
        <v>1</v>
      </c>
      <c r="P145" s="1" t="b">
        <f t="shared" si="1"/>
        <v>1</v>
      </c>
      <c r="Q145" s="1" t="b">
        <f t="shared" si="1"/>
        <v>1</v>
      </c>
    </row>
    <row r="146" spans="1:17">
      <c r="A146" s="1">
        <v>2022.1</v>
      </c>
      <c r="B146" t="s">
        <v>14</v>
      </c>
      <c r="C146" s="1">
        <v>572.5602013037668</v>
      </c>
      <c r="D146" s="1">
        <v>138.77884</v>
      </c>
      <c r="E146" s="1">
        <v>130.10400000000001</v>
      </c>
      <c r="F146" s="1">
        <v>147.80146999999999</v>
      </c>
      <c r="G146" s="1"/>
      <c r="I146" s="1">
        <v>572.5602013037668</v>
      </c>
      <c r="J146" s="1">
        <v>138.77884</v>
      </c>
      <c r="K146" s="1">
        <v>130.10400000000001</v>
      </c>
      <c r="L146" s="1">
        <v>147.80146999999999</v>
      </c>
      <c r="N146" s="1" t="b">
        <f>indexTable[[#This Row],[Labour]]=I146</f>
        <v>1</v>
      </c>
      <c r="O146" s="1" t="b">
        <f t="shared" si="0"/>
        <v>1</v>
      </c>
      <c r="P146" s="1" t="b">
        <f t="shared" si="1"/>
        <v>1</v>
      </c>
      <c r="Q146" s="1" t="b">
        <f t="shared" si="1"/>
        <v>1</v>
      </c>
    </row>
    <row r="147" spans="1:17">
      <c r="A147" s="1"/>
      <c r="C147" s="1"/>
      <c r="D147" s="1"/>
      <c r="E147" s="1"/>
      <c r="F147" s="1"/>
      <c r="G147" s="1"/>
      <c r="N147" s="1" t="b">
        <f>indexTable[[#This Row],[Labour]]=I147</f>
        <v>1</v>
      </c>
      <c r="O147" s="1" t="b">
        <f t="shared" si="0"/>
        <v>1</v>
      </c>
      <c r="P147" s="1" t="b">
        <f t="shared" si="1"/>
        <v>1</v>
      </c>
      <c r="Q147" s="1" t="b">
        <f t="shared" si="1"/>
        <v>1</v>
      </c>
    </row>
    <row r="148" spans="1:17">
      <c r="A148" s="1"/>
      <c r="B148" t="s">
        <v>15</v>
      </c>
      <c r="C148" s="1">
        <v>572.56020130376669</v>
      </c>
      <c r="D148" s="1">
        <v>139.4392591115095</v>
      </c>
      <c r="E148" s="1">
        <v>130.25603000000004</v>
      </c>
      <c r="F148" s="1">
        <v>144.34914012787996</v>
      </c>
      <c r="G148" s="1"/>
      <c r="I148" s="1">
        <v>572.56020130376669</v>
      </c>
      <c r="J148" s="1">
        <v>139.4392591115095</v>
      </c>
      <c r="K148" s="1">
        <v>130.25603000000004</v>
      </c>
      <c r="L148" s="1">
        <v>144.34914012787996</v>
      </c>
      <c r="N148" s="1" t="b">
        <f>indexTable[[#This Row],[Labour]]=I148</f>
        <v>1</v>
      </c>
      <c r="O148" s="1" t="b">
        <f t="shared" si="0"/>
        <v>1</v>
      </c>
      <c r="P148" s="1" t="b">
        <f t="shared" si="1"/>
        <v>1</v>
      </c>
      <c r="Q148" s="1" t="b">
        <f t="shared" si="1"/>
        <v>1</v>
      </c>
    </row>
    <row r="149" spans="1:17">
      <c r="A149" s="1">
        <v>2022.11</v>
      </c>
      <c r="B149" t="s">
        <v>16</v>
      </c>
      <c r="C149" s="1">
        <v>572.5602013037668</v>
      </c>
      <c r="D149" s="1">
        <v>140.49205000000001</v>
      </c>
      <c r="E149" s="1">
        <v>130.25603000000001</v>
      </c>
      <c r="F149" s="1">
        <v>147.03242</v>
      </c>
      <c r="G149" s="1"/>
      <c r="I149" s="1">
        <v>572.5602013037668</v>
      </c>
      <c r="J149" s="1">
        <v>140.49205000000001</v>
      </c>
      <c r="K149" s="1">
        <v>130.25603000000001</v>
      </c>
      <c r="L149" s="1">
        <v>147.03242</v>
      </c>
      <c r="N149" s="1" t="b">
        <f>indexTable[[#This Row],[Labour]]=I149</f>
        <v>1</v>
      </c>
      <c r="O149" s="1" t="b">
        <f t="shared" si="0"/>
        <v>1</v>
      </c>
      <c r="P149" s="1" t="b">
        <f t="shared" si="1"/>
        <v>1</v>
      </c>
      <c r="Q149" s="1" t="b">
        <f t="shared" si="1"/>
        <v>1</v>
      </c>
    </row>
    <row r="150" spans="1:17">
      <c r="A150" s="1">
        <v>2022.12</v>
      </c>
      <c r="B150" t="s">
        <v>17</v>
      </c>
      <c r="C150" s="1">
        <v>572.5602013037668</v>
      </c>
      <c r="D150" s="1">
        <v>138.52575999999999</v>
      </c>
      <c r="E150" s="1">
        <v>130.25603000000001</v>
      </c>
      <c r="F150" s="1">
        <v>143.84469999999999</v>
      </c>
      <c r="G150" s="1"/>
      <c r="I150" s="1">
        <v>572.5602013037668</v>
      </c>
      <c r="J150" s="1">
        <v>138.52575999999999</v>
      </c>
      <c r="K150" s="1">
        <v>130.25603000000001</v>
      </c>
      <c r="L150" s="1">
        <v>143.84469999999999</v>
      </c>
      <c r="N150" s="1" t="b">
        <f>indexTable[[#This Row],[Labour]]=I150</f>
        <v>1</v>
      </c>
      <c r="O150" s="1" t="b">
        <f t="shared" si="0"/>
        <v>1</v>
      </c>
      <c r="P150" s="1" t="b">
        <f t="shared" si="1"/>
        <v>1</v>
      </c>
      <c r="Q150" s="1" t="b">
        <f t="shared" si="1"/>
        <v>1</v>
      </c>
    </row>
    <row r="151" spans="1:17">
      <c r="A151" s="1">
        <v>2023.01</v>
      </c>
      <c r="B151" t="s">
        <v>18</v>
      </c>
      <c r="C151" s="1">
        <v>572.5602013037668</v>
      </c>
      <c r="D151" s="1">
        <v>139.30699000000001</v>
      </c>
      <c r="E151" s="1">
        <v>130.25603000000001</v>
      </c>
      <c r="F151" s="1">
        <v>142.21180000000001</v>
      </c>
      <c r="G151" s="1"/>
      <c r="I151" s="1">
        <v>572.5602013037668</v>
      </c>
      <c r="J151" s="1">
        <v>139.30699000000001</v>
      </c>
      <c r="K151" s="1">
        <v>130.25603000000001</v>
      </c>
      <c r="L151" s="1">
        <v>142.21180000000001</v>
      </c>
      <c r="N151" s="1" t="b">
        <f>indexTable[[#This Row],[Labour]]=I151</f>
        <v>1</v>
      </c>
      <c r="O151" s="1" t="b">
        <f t="shared" si="0"/>
        <v>1</v>
      </c>
      <c r="P151" s="1" t="b">
        <f t="shared" si="1"/>
        <v>1</v>
      </c>
      <c r="Q151" s="1" t="b">
        <f t="shared" si="1"/>
        <v>1</v>
      </c>
    </row>
    <row r="152" spans="1:17">
      <c r="A152" s="1"/>
      <c r="C152" s="1"/>
      <c r="D152" s="1"/>
      <c r="E152" s="1"/>
      <c r="F152" s="1"/>
      <c r="G152" s="1"/>
      <c r="N152" s="1" t="b">
        <f>indexTable[[#This Row],[Labour]]=I152</f>
        <v>1</v>
      </c>
      <c r="O152" s="1" t="b">
        <f t="shared" si="0"/>
        <v>1</v>
      </c>
      <c r="P152" s="1" t="b">
        <f t="shared" si="1"/>
        <v>1</v>
      </c>
      <c r="Q152" s="1" t="b">
        <f t="shared" si="1"/>
        <v>1</v>
      </c>
    </row>
    <row r="153" spans="1:17">
      <c r="A153" s="1"/>
      <c r="B153" t="s">
        <v>19</v>
      </c>
      <c r="C153" s="1">
        <v>573.88365922438038</v>
      </c>
      <c r="D153" s="1">
        <v>143.81366327481652</v>
      </c>
      <c r="E153" s="1">
        <v>132.56921</v>
      </c>
      <c r="F153" s="1">
        <v>144.07898493633493</v>
      </c>
      <c r="G153" s="1"/>
      <c r="I153" s="1">
        <v>573.88365922438038</v>
      </c>
      <c r="J153" s="1">
        <v>143.81366327481652</v>
      </c>
      <c r="K153" s="1">
        <v>132.56920999999997</v>
      </c>
      <c r="L153" s="1">
        <v>144.0789849363349</v>
      </c>
      <c r="N153" s="1" t="b">
        <f>indexTable[[#This Row],[Labour]]=I153</f>
        <v>1</v>
      </c>
      <c r="O153" s="1" t="b">
        <f t="shared" si="0"/>
        <v>1</v>
      </c>
      <c r="P153" s="1" t="b">
        <f t="shared" si="1"/>
        <v>1</v>
      </c>
      <c r="Q153" s="1" t="b">
        <f t="shared" si="1"/>
        <v>1</v>
      </c>
    </row>
    <row r="154" spans="1:17">
      <c r="A154" s="1">
        <v>2023.02</v>
      </c>
      <c r="B154" t="s">
        <v>20</v>
      </c>
      <c r="C154" s="1">
        <v>572.5602013037668</v>
      </c>
      <c r="D154" s="1">
        <v>142.93492000000001</v>
      </c>
      <c r="E154" s="1">
        <v>132.56921</v>
      </c>
      <c r="F154" s="1">
        <v>143.44319999999999</v>
      </c>
      <c r="G154" s="1"/>
      <c r="I154" s="1">
        <v>572.5602013037668</v>
      </c>
      <c r="J154" s="1">
        <v>142.93492000000001</v>
      </c>
      <c r="K154" s="1">
        <v>132.56921</v>
      </c>
      <c r="L154" s="1">
        <v>143.44319999999999</v>
      </c>
      <c r="M154" s="1"/>
      <c r="N154" s="1" t="b">
        <f>indexTable[[#This Row],[Labour]]=I154</f>
        <v>1</v>
      </c>
      <c r="O154" s="1" t="b">
        <f t="shared" si="0"/>
        <v>1</v>
      </c>
      <c r="P154" s="1" t="b">
        <f t="shared" si="1"/>
        <v>1</v>
      </c>
      <c r="Q154" s="1" t="b">
        <f t="shared" si="1"/>
        <v>1</v>
      </c>
    </row>
    <row r="155" spans="1:17">
      <c r="A155" s="1">
        <v>2023.03</v>
      </c>
      <c r="B155" t="s">
        <v>21</v>
      </c>
      <c r="C155" s="1">
        <v>572.5602013037668</v>
      </c>
      <c r="D155" s="1">
        <v>143.28242</v>
      </c>
      <c r="E155" s="1">
        <v>132.56921</v>
      </c>
      <c r="F155" s="1">
        <v>143.87602000000001</v>
      </c>
      <c r="G155" s="1"/>
      <c r="I155" s="1">
        <v>572.5602013037668</v>
      </c>
      <c r="J155" s="1">
        <v>143.28242</v>
      </c>
      <c r="K155" s="1">
        <v>132.56921</v>
      </c>
      <c r="L155" s="1">
        <v>143.87602000000001</v>
      </c>
      <c r="M155" s="1"/>
      <c r="N155" s="1" t="b">
        <f>indexTable[[#This Row],[Labour]]=I155</f>
        <v>1</v>
      </c>
      <c r="O155" s="1" t="b">
        <f t="shared" si="0"/>
        <v>1</v>
      </c>
      <c r="P155" s="1" t="b">
        <f t="shared" si="1"/>
        <v>1</v>
      </c>
      <c r="Q155" s="1" t="b">
        <f t="shared" si="1"/>
        <v>1</v>
      </c>
    </row>
    <row r="156" spans="1:17">
      <c r="A156" s="1">
        <v>2023.04</v>
      </c>
      <c r="B156" t="s">
        <v>22</v>
      </c>
      <c r="C156" s="1">
        <v>576.53975955176679</v>
      </c>
      <c r="D156" s="1">
        <v>145.23429999999999</v>
      </c>
      <c r="E156" s="1">
        <v>132.56921</v>
      </c>
      <c r="F156" s="1">
        <v>144.92174</v>
      </c>
      <c r="G156" s="1"/>
      <c r="I156" s="1">
        <v>576.53975955176679</v>
      </c>
      <c r="J156" s="1">
        <v>145.23429999999999</v>
      </c>
      <c r="K156" s="1">
        <v>132.56921</v>
      </c>
      <c r="L156" s="1">
        <v>144.92174</v>
      </c>
      <c r="M156" s="1"/>
      <c r="N156" s="1" t="b">
        <f>indexTable[[#This Row],[Labour]]=I156</f>
        <v>1</v>
      </c>
      <c r="O156" s="1" t="b">
        <f t="shared" si="0"/>
        <v>1</v>
      </c>
      <c r="P156" s="1" t="b">
        <f t="shared" si="1"/>
        <v>1</v>
      </c>
      <c r="Q156" s="1" t="b">
        <f t="shared" si="1"/>
        <v>1</v>
      </c>
    </row>
    <row r="157" spans="1:17">
      <c r="A157" s="1"/>
      <c r="C157" s="1"/>
      <c r="D157" s="1"/>
      <c r="E157" s="1"/>
      <c r="F157" s="1"/>
      <c r="G157" s="1"/>
      <c r="M157" s="1"/>
      <c r="N157" s="1" t="b">
        <f>indexTable[[#This Row],[Labour]]=I157</f>
        <v>1</v>
      </c>
      <c r="O157" s="1" t="b">
        <f t="shared" si="0"/>
        <v>1</v>
      </c>
      <c r="P157" s="1" t="b">
        <f t="shared" si="1"/>
        <v>1</v>
      </c>
      <c r="Q157" s="1" t="b">
        <f t="shared" si="1"/>
        <v>1</v>
      </c>
    </row>
    <row r="158" spans="1:17">
      <c r="A158" s="1"/>
      <c r="B158" t="s">
        <v>23</v>
      </c>
      <c r="C158" s="1">
        <v>585.43727347641504</v>
      </c>
      <c r="D158" s="1">
        <v>142.73175831648948</v>
      </c>
      <c r="E158" s="1">
        <v>133.03079999999994</v>
      </c>
      <c r="F158" s="1">
        <v>146.07244398304897</v>
      </c>
      <c r="G158" s="1"/>
      <c r="I158" s="1">
        <v>585.43727347641504</v>
      </c>
      <c r="J158" s="1">
        <v>142.73175831648948</v>
      </c>
      <c r="K158" s="1">
        <v>133.03079999999994</v>
      </c>
      <c r="L158" s="1">
        <v>146.07244398304897</v>
      </c>
      <c r="M158" s="1"/>
      <c r="N158" s="1" t="b">
        <f>indexTable[[#This Row],[Labour]]=I158</f>
        <v>1</v>
      </c>
      <c r="O158" s="1" t="b">
        <f t="shared" si="0"/>
        <v>1</v>
      </c>
      <c r="P158" s="1" t="b">
        <f t="shared" si="1"/>
        <v>1</v>
      </c>
      <c r="Q158" s="1" t="b">
        <f t="shared" si="1"/>
        <v>1</v>
      </c>
    </row>
    <row r="159" spans="1:17">
      <c r="A159" s="1">
        <v>2023.05</v>
      </c>
      <c r="B159" t="s">
        <v>24</v>
      </c>
      <c r="C159" s="1">
        <v>582.08340285916222</v>
      </c>
      <c r="D159" s="1">
        <v>145.09305000000001</v>
      </c>
      <c r="E159" s="1">
        <v>133.0308</v>
      </c>
      <c r="F159" s="1">
        <v>145.59526</v>
      </c>
      <c r="G159" s="1"/>
      <c r="I159" s="1">
        <v>582.08340285916222</v>
      </c>
      <c r="J159" s="1">
        <v>145.09305000000001</v>
      </c>
      <c r="K159" s="1">
        <v>133.0308</v>
      </c>
      <c r="L159" s="1">
        <v>145.59526</v>
      </c>
      <c r="M159" s="1"/>
      <c r="N159" s="1" t="b">
        <f>indexTable[[#This Row],[Labour]]=I159</f>
        <v>1</v>
      </c>
      <c r="O159" s="1" t="b">
        <f t="shared" si="0"/>
        <v>1</v>
      </c>
      <c r="P159" s="1" t="b">
        <f t="shared" si="1"/>
        <v>1</v>
      </c>
      <c r="Q159" s="1" t="b">
        <f t="shared" si="1"/>
        <v>1</v>
      </c>
    </row>
    <row r="160" spans="1:17">
      <c r="A160" s="1">
        <v>2023.06</v>
      </c>
      <c r="B160" t="s">
        <v>25</v>
      </c>
      <c r="C160" s="1">
        <v>587.12144851394805</v>
      </c>
      <c r="D160" s="1">
        <v>141.61176</v>
      </c>
      <c r="E160" s="1">
        <v>133.0308</v>
      </c>
      <c r="F160" s="1">
        <v>144.72220999999999</v>
      </c>
      <c r="G160" s="1"/>
      <c r="I160" s="1">
        <v>587.12144851394805</v>
      </c>
      <c r="J160" s="1">
        <v>141.61176</v>
      </c>
      <c r="K160" s="1">
        <v>133.0308</v>
      </c>
      <c r="L160" s="1">
        <v>144.72220999999999</v>
      </c>
      <c r="M160" s="1"/>
      <c r="N160" s="1" t="b">
        <f>indexTable[[#This Row],[Labour]]=I160</f>
        <v>1</v>
      </c>
      <c r="O160" s="1" t="b">
        <f t="shared" si="0"/>
        <v>1</v>
      </c>
      <c r="P160" s="1" t="b">
        <f t="shared" si="1"/>
        <v>1</v>
      </c>
      <c r="Q160" s="1" t="b">
        <f t="shared" si="1"/>
        <v>1</v>
      </c>
    </row>
    <row r="161" spans="1:17">
      <c r="A161" s="1">
        <v>2023.07</v>
      </c>
      <c r="B161" t="s">
        <v>26</v>
      </c>
      <c r="C161" s="1">
        <v>587.12144851394805</v>
      </c>
      <c r="D161" s="1">
        <v>141.51938000000001</v>
      </c>
      <c r="E161" s="1">
        <v>133.0308</v>
      </c>
      <c r="F161" s="1">
        <v>147.91848999999999</v>
      </c>
      <c r="G161" s="1"/>
      <c r="I161" s="1">
        <v>587.12144851394805</v>
      </c>
      <c r="J161" s="1">
        <v>141.51938000000001</v>
      </c>
      <c r="K161" s="1">
        <v>133.0308</v>
      </c>
      <c r="L161" s="1">
        <v>147.91848999999999</v>
      </c>
      <c r="N161" s="1" t="b">
        <f>indexTable[[#This Row],[Labour]]=I161</f>
        <v>1</v>
      </c>
      <c r="O161" s="1" t="b">
        <f t="shared" ref="O161:O182" si="2">D161=J161</f>
        <v>1</v>
      </c>
      <c r="P161" s="1" t="b">
        <f t="shared" ref="P161:P182" si="3">E161=K161</f>
        <v>1</v>
      </c>
      <c r="Q161" s="1" t="b">
        <f t="shared" ref="Q161:Q182" si="4">F161=L161</f>
        <v>1</v>
      </c>
    </row>
    <row r="162" spans="1:17">
      <c r="A162" s="1"/>
      <c r="C162" s="1"/>
      <c r="D162" s="1"/>
      <c r="E162" s="1"/>
      <c r="F162" s="1"/>
      <c r="G162" s="1"/>
      <c r="N162" s="1" t="b">
        <f>indexTable[[#This Row],[Labour]]=I162</f>
        <v>1</v>
      </c>
      <c r="O162" s="1" t="b">
        <f t="shared" si="2"/>
        <v>1</v>
      </c>
      <c r="P162" s="1" t="b">
        <f t="shared" si="3"/>
        <v>1</v>
      </c>
      <c r="Q162" s="1" t="b">
        <f t="shared" si="4"/>
        <v>1</v>
      </c>
    </row>
    <row r="163" spans="1:17">
      <c r="A163" s="1"/>
      <c r="B163" t="s">
        <v>103</v>
      </c>
      <c r="C163" s="1"/>
      <c r="D163" s="1"/>
      <c r="E163" s="1"/>
      <c r="F163" s="1"/>
      <c r="G163" s="1"/>
      <c r="N163" s="1" t="b">
        <f>indexTable[[#This Row],[Labour]]=I163</f>
        <v>1</v>
      </c>
      <c r="O163" s="1" t="b">
        <f t="shared" si="2"/>
        <v>1</v>
      </c>
      <c r="P163" s="1" t="b">
        <f t="shared" si="3"/>
        <v>1</v>
      </c>
      <c r="Q163" s="1" t="b">
        <f t="shared" si="4"/>
        <v>1</v>
      </c>
    </row>
    <row r="164" spans="1:17">
      <c r="A164" s="1"/>
      <c r="B164" t="s">
        <v>11</v>
      </c>
      <c r="C164" s="1">
        <v>592.29047897948396</v>
      </c>
      <c r="D164" s="1">
        <v>138.50342382710892</v>
      </c>
      <c r="E164" s="1">
        <v>136.17881999999997</v>
      </c>
      <c r="F164" s="1">
        <v>151.69204404637688</v>
      </c>
      <c r="G164" s="1"/>
      <c r="I164" s="1">
        <v>592.29047897948396</v>
      </c>
      <c r="J164" s="1">
        <v>138.50342382710892</v>
      </c>
      <c r="K164" s="1">
        <v>136.17881999999997</v>
      </c>
      <c r="L164" s="1">
        <v>151.69204404637688</v>
      </c>
      <c r="N164" s="1" t="b">
        <f>indexTable[[#This Row],[Labour]]=I164</f>
        <v>1</v>
      </c>
      <c r="O164" s="1" t="b">
        <f t="shared" si="2"/>
        <v>1</v>
      </c>
      <c r="P164" s="1" t="b">
        <f t="shared" si="3"/>
        <v>1</v>
      </c>
      <c r="Q164" s="1" t="b">
        <f t="shared" si="4"/>
        <v>1</v>
      </c>
    </row>
    <row r="165" spans="1:17">
      <c r="A165" s="1">
        <v>2023.08</v>
      </c>
      <c r="B165" t="s">
        <v>12</v>
      </c>
      <c r="C165" s="1">
        <v>592.29047897948431</v>
      </c>
      <c r="D165" s="1">
        <v>138.53404</v>
      </c>
      <c r="E165" s="1">
        <v>136.17882</v>
      </c>
      <c r="F165" s="1">
        <v>150.10048</v>
      </c>
      <c r="G165" s="1"/>
      <c r="I165" s="1">
        <v>592.29047897948431</v>
      </c>
      <c r="J165" s="1">
        <v>138.53404</v>
      </c>
      <c r="K165" s="1">
        <v>136.17882</v>
      </c>
      <c r="L165" s="1">
        <v>150.10048</v>
      </c>
      <c r="N165" s="1" t="b">
        <f>indexTable[[#This Row],[Labour]]=I165</f>
        <v>1</v>
      </c>
      <c r="O165" s="1" t="b">
        <f t="shared" si="2"/>
        <v>1</v>
      </c>
      <c r="P165" s="1" t="b">
        <f t="shared" si="3"/>
        <v>1</v>
      </c>
      <c r="Q165" s="1" t="b">
        <f t="shared" si="4"/>
        <v>1</v>
      </c>
    </row>
    <row r="166" spans="1:17">
      <c r="A166" s="1">
        <v>2023.09</v>
      </c>
      <c r="B166" t="s">
        <v>13</v>
      </c>
      <c r="C166" s="1">
        <v>592.29047897948431</v>
      </c>
      <c r="D166" s="1">
        <v>138.66414</v>
      </c>
      <c r="E166" s="1">
        <v>136.17882</v>
      </c>
      <c r="F166" s="1">
        <v>153.08664999999999</v>
      </c>
      <c r="G166" s="1"/>
      <c r="I166" s="1">
        <v>592.29047897948431</v>
      </c>
      <c r="J166" s="1">
        <v>138.66414</v>
      </c>
      <c r="K166" s="1">
        <v>136.17882</v>
      </c>
      <c r="L166" s="1">
        <v>153.08664999999999</v>
      </c>
      <c r="N166" s="1" t="b">
        <f>indexTable[[#This Row],[Labour]]=I166</f>
        <v>1</v>
      </c>
      <c r="O166" s="1" t="b">
        <f t="shared" si="2"/>
        <v>1</v>
      </c>
      <c r="P166" s="1" t="b">
        <f t="shared" si="3"/>
        <v>1</v>
      </c>
      <c r="Q166" s="1" t="b">
        <f t="shared" si="4"/>
        <v>1</v>
      </c>
    </row>
    <row r="167" spans="1:17">
      <c r="A167" s="1">
        <v>2023.1</v>
      </c>
      <c r="B167" t="s">
        <v>14</v>
      </c>
      <c r="C167" s="1">
        <v>592.29047897948431</v>
      </c>
      <c r="D167" s="1">
        <v>138.31232</v>
      </c>
      <c r="E167" s="1">
        <v>136.17882</v>
      </c>
      <c r="F167" s="1">
        <v>151.90393</v>
      </c>
      <c r="G167" s="1"/>
      <c r="I167" s="1">
        <v>592.29047897948431</v>
      </c>
      <c r="J167" s="1">
        <v>138.31232</v>
      </c>
      <c r="K167" s="1">
        <v>136.17882</v>
      </c>
      <c r="L167" s="1">
        <v>151.90393</v>
      </c>
      <c r="N167" s="1" t="b">
        <f>indexTable[[#This Row],[Labour]]=I167</f>
        <v>1</v>
      </c>
      <c r="O167" s="1" t="b">
        <f t="shared" si="2"/>
        <v>1</v>
      </c>
      <c r="P167" s="1" t="b">
        <f t="shared" si="3"/>
        <v>1</v>
      </c>
      <c r="Q167" s="1" t="b">
        <f t="shared" si="4"/>
        <v>1</v>
      </c>
    </row>
    <row r="168" spans="1:17">
      <c r="A168" s="1"/>
      <c r="C168" s="1"/>
      <c r="D168" s="1"/>
      <c r="E168" s="1"/>
      <c r="F168" s="1"/>
      <c r="G168" s="1"/>
      <c r="N168" s="1" t="b">
        <f>indexTable[[#This Row],[Labour]]=I168</f>
        <v>1</v>
      </c>
      <c r="O168" s="1" t="b">
        <f>indexTable[[#This Row],[Material]]=J168</f>
        <v>1</v>
      </c>
      <c r="P168" s="1" t="b">
        <f t="shared" si="3"/>
        <v>1</v>
      </c>
      <c r="Q168" s="1" t="b">
        <f t="shared" si="4"/>
        <v>1</v>
      </c>
    </row>
    <row r="169" spans="1:17">
      <c r="A169" s="1"/>
      <c r="B169" t="s">
        <v>15</v>
      </c>
      <c r="C169" s="1"/>
      <c r="D169" s="1"/>
      <c r="E169" s="1"/>
      <c r="F169" s="1"/>
      <c r="G169" s="1"/>
      <c r="N169" s="1" t="b">
        <f>indexTable[[#This Row],[Labour]]=I169</f>
        <v>1</v>
      </c>
      <c r="O169" s="1" t="b">
        <f>indexTable[[#This Row],[Material]]=J169</f>
        <v>1</v>
      </c>
      <c r="P169" s="1" t="b">
        <f t="shared" si="3"/>
        <v>1</v>
      </c>
      <c r="Q169" s="1" t="b">
        <f t="shared" si="4"/>
        <v>1</v>
      </c>
    </row>
    <row r="170" spans="1:17">
      <c r="A170" s="1">
        <v>2023.11</v>
      </c>
      <c r="B170" t="s">
        <v>16</v>
      </c>
      <c r="C170" s="1">
        <v>592.29047897948431</v>
      </c>
      <c r="D170" s="1">
        <v>139.01846</v>
      </c>
      <c r="E170" s="1">
        <v>136.22429</v>
      </c>
      <c r="F170" s="1">
        <v>150.10722000000001</v>
      </c>
      <c r="G170" s="1" t="s">
        <v>93</v>
      </c>
      <c r="N170" s="1" t="b">
        <f>indexTable[[#This Row],[Labour]]=I170</f>
        <v>0</v>
      </c>
      <c r="O170" s="1" t="b">
        <f t="shared" si="2"/>
        <v>0</v>
      </c>
      <c r="P170" s="1" t="b">
        <f t="shared" si="3"/>
        <v>0</v>
      </c>
      <c r="Q170" s="1" t="b">
        <f t="shared" si="4"/>
        <v>0</v>
      </c>
    </row>
    <row r="171" spans="1:17">
      <c r="A171" s="1">
        <v>2023.12</v>
      </c>
      <c r="B171" t="s">
        <v>17</v>
      </c>
      <c r="C171" s="1">
        <v>592.29047897948431</v>
      </c>
      <c r="D171" s="1">
        <v>137.61363</v>
      </c>
      <c r="E171" s="1">
        <v>136.22429</v>
      </c>
      <c r="F171" s="1">
        <v>147.62075999999999</v>
      </c>
      <c r="G171" s="1" t="s">
        <v>93</v>
      </c>
      <c r="N171" s="1" t="b">
        <f>indexTable[[#This Row],[Labour]]=I171</f>
        <v>0</v>
      </c>
      <c r="O171" s="1" t="b">
        <f t="shared" si="2"/>
        <v>0</v>
      </c>
      <c r="P171" s="1" t="b">
        <f t="shared" si="3"/>
        <v>0</v>
      </c>
      <c r="Q171" s="1" t="b">
        <f t="shared" si="4"/>
        <v>0</v>
      </c>
    </row>
    <row r="172" spans="1:17">
      <c r="A172" s="1">
        <v>2024.01</v>
      </c>
      <c r="B172" t="s">
        <v>18</v>
      </c>
      <c r="C172" s="1">
        <v>592.29047897948431</v>
      </c>
      <c r="D172" s="1">
        <v>137.80153999999999</v>
      </c>
      <c r="E172" s="1">
        <v>136.22429</v>
      </c>
      <c r="F172" s="1">
        <v>146.9966</v>
      </c>
      <c r="G172" s="1" t="s">
        <v>93</v>
      </c>
      <c r="N172" s="1" t="b">
        <f>indexTable[[#This Row],[Labour]]=I172</f>
        <v>0</v>
      </c>
      <c r="O172" s="1" t="b">
        <f t="shared" si="2"/>
        <v>0</v>
      </c>
      <c r="P172" s="1" t="b">
        <f t="shared" si="3"/>
        <v>0</v>
      </c>
      <c r="Q172" s="1" t="b">
        <f t="shared" si="4"/>
        <v>0</v>
      </c>
    </row>
    <row r="173" spans="1:17">
      <c r="A173" s="1"/>
      <c r="C173" s="1"/>
      <c r="D173" s="1"/>
      <c r="E173" s="1"/>
      <c r="F173" s="1"/>
      <c r="G173" s="1"/>
      <c r="N173" s="1" t="b">
        <f>indexTable[[#This Row],[Labour]]=I173</f>
        <v>1</v>
      </c>
      <c r="O173" s="1" t="b">
        <f t="shared" si="2"/>
        <v>1</v>
      </c>
      <c r="P173" s="1" t="b">
        <f t="shared" si="3"/>
        <v>1</v>
      </c>
      <c r="Q173" s="1" t="b">
        <f t="shared" si="4"/>
        <v>1</v>
      </c>
    </row>
    <row r="174" spans="1:17">
      <c r="A174" s="1"/>
      <c r="B174" t="s">
        <v>19</v>
      </c>
      <c r="C174" s="1"/>
      <c r="D174" s="1"/>
      <c r="E174" s="1"/>
      <c r="F174" s="1"/>
      <c r="G174" s="1"/>
      <c r="N174" s="1" t="b">
        <f>indexTable[[#This Row],[Labour]]=I174</f>
        <v>1</v>
      </c>
      <c r="O174" s="1" t="b">
        <f t="shared" si="2"/>
        <v>1</v>
      </c>
      <c r="P174" s="1" t="b">
        <f t="shared" si="3"/>
        <v>1</v>
      </c>
      <c r="Q174" s="1" t="b">
        <f t="shared" si="4"/>
        <v>1</v>
      </c>
    </row>
    <row r="175" spans="1:17">
      <c r="A175" s="1">
        <v>2024.02</v>
      </c>
      <c r="B175" t="s">
        <v>20</v>
      </c>
      <c r="C175" s="1">
        <v>592.29047897948431</v>
      </c>
      <c r="D175" s="1">
        <v>135.33297999999999</v>
      </c>
      <c r="E175" s="1">
        <v>136.46172000000001</v>
      </c>
      <c r="F175" s="1">
        <v>147.48227</v>
      </c>
      <c r="G175" s="1" t="s">
        <v>93</v>
      </c>
      <c r="N175" s="1" t="b">
        <f>indexTable[[#This Row],[Labour]]=I175</f>
        <v>0</v>
      </c>
      <c r="O175" s="1" t="b">
        <f t="shared" ref="O175" si="5">D175=J175</f>
        <v>0</v>
      </c>
      <c r="P175" s="1" t="b">
        <f t="shared" ref="P175" si="6">E175=K175</f>
        <v>0</v>
      </c>
      <c r="Q175" s="1" t="b">
        <f t="shared" ref="Q175" si="7">F175=L175</f>
        <v>0</v>
      </c>
    </row>
    <row r="176" spans="1:17">
      <c r="A176" s="1">
        <v>2024.03</v>
      </c>
      <c r="B176" t="s">
        <v>21</v>
      </c>
      <c r="C176" s="1">
        <v>592.29047897948431</v>
      </c>
      <c r="D176" s="1">
        <v>135.12860000000001</v>
      </c>
      <c r="E176" s="1">
        <v>136.46172000000001</v>
      </c>
      <c r="F176" s="1">
        <v>149.17953</v>
      </c>
      <c r="G176" s="1" t="s">
        <v>93</v>
      </c>
      <c r="N176" s="1" t="b">
        <f>indexTable[[#This Row],[Labour]]=I176</f>
        <v>0</v>
      </c>
      <c r="O176" s="1" t="b">
        <f t="shared" si="2"/>
        <v>0</v>
      </c>
      <c r="P176" s="1" t="b">
        <f t="shared" si="3"/>
        <v>0</v>
      </c>
      <c r="Q176" s="1" t="b">
        <f t="shared" si="4"/>
        <v>0</v>
      </c>
    </row>
    <row r="177" spans="1:17">
      <c r="A177" s="1">
        <v>2024.04</v>
      </c>
      <c r="B177" t="s">
        <v>22</v>
      </c>
      <c r="C177" s="1">
        <v>592.29047897948431</v>
      </c>
      <c r="D177" s="1">
        <v>134.77957000000001</v>
      </c>
      <c r="E177" s="1">
        <v>136.46172000000001</v>
      </c>
      <c r="F177" s="1">
        <v>152.07703000000001</v>
      </c>
      <c r="G177" s="1" t="s">
        <v>93</v>
      </c>
      <c r="N177" s="1" t="b">
        <f>indexTable[[#This Row],[Labour]]=I177</f>
        <v>0</v>
      </c>
      <c r="O177" s="1" t="b">
        <f t="shared" si="2"/>
        <v>0</v>
      </c>
      <c r="P177" s="1" t="b">
        <f t="shared" si="3"/>
        <v>0</v>
      </c>
      <c r="Q177" s="1" t="b">
        <f t="shared" si="4"/>
        <v>0</v>
      </c>
    </row>
    <row r="178" spans="1:17">
      <c r="A178" s="1"/>
      <c r="C178" s="1"/>
      <c r="D178" s="1"/>
      <c r="E178" s="1"/>
      <c r="F178" s="1"/>
      <c r="G178" s="1"/>
      <c r="N178" s="1" t="b">
        <f>indexTable[[#This Row],[Labour]]=I178</f>
        <v>1</v>
      </c>
      <c r="O178" s="1" t="b">
        <f t="shared" si="2"/>
        <v>1</v>
      </c>
      <c r="P178" s="1" t="b">
        <f t="shared" si="3"/>
        <v>1</v>
      </c>
      <c r="Q178" s="1" t="b">
        <f t="shared" si="4"/>
        <v>1</v>
      </c>
    </row>
    <row r="179" spans="1:17">
      <c r="A179" s="1"/>
      <c r="B179" t="s">
        <v>23</v>
      </c>
      <c r="C179" s="1"/>
      <c r="D179" s="1"/>
      <c r="E179" s="1"/>
      <c r="F179" s="1"/>
      <c r="G179" s="1"/>
      <c r="N179" s="1" t="b">
        <f>indexTable[[#This Row],[Labour]]=I179</f>
        <v>1</v>
      </c>
      <c r="O179" s="1" t="b">
        <f t="shared" si="2"/>
        <v>1</v>
      </c>
      <c r="P179" s="1" t="b">
        <f t="shared" si="3"/>
        <v>1</v>
      </c>
      <c r="Q179" s="1" t="b">
        <f t="shared" si="4"/>
        <v>1</v>
      </c>
    </row>
    <row r="180" spans="1:17">
      <c r="A180" s="1"/>
      <c r="B180" t="s">
        <v>24</v>
      </c>
      <c r="C180" s="1"/>
      <c r="D180" s="1"/>
      <c r="E180" s="1"/>
      <c r="F180" s="1"/>
      <c r="G180" s="1"/>
      <c r="N180" s="1" t="b">
        <f>indexTable[[#This Row],[Labour]]=I180</f>
        <v>1</v>
      </c>
      <c r="O180" s="1" t="b">
        <f t="shared" si="2"/>
        <v>1</v>
      </c>
      <c r="P180" s="1" t="b">
        <f t="shared" si="3"/>
        <v>1</v>
      </c>
      <c r="Q180" s="1" t="b">
        <f t="shared" si="4"/>
        <v>1</v>
      </c>
    </row>
    <row r="181" spans="1:17">
      <c r="A181" s="1"/>
      <c r="B181" t="s">
        <v>25</v>
      </c>
      <c r="C181" s="1"/>
      <c r="D181" s="1"/>
      <c r="E181" s="1"/>
      <c r="F181" s="1"/>
      <c r="G181" s="1"/>
      <c r="N181" s="1" t="b">
        <f>indexTable[[#This Row],[Labour]]=I181</f>
        <v>1</v>
      </c>
      <c r="O181" s="1" t="b">
        <f t="shared" si="2"/>
        <v>1</v>
      </c>
      <c r="P181" s="1" t="b">
        <f t="shared" si="3"/>
        <v>1</v>
      </c>
      <c r="Q181" s="1" t="b">
        <f t="shared" si="4"/>
        <v>1</v>
      </c>
    </row>
    <row r="182" spans="1:17">
      <c r="A182" s="1"/>
      <c r="B182" t="s">
        <v>26</v>
      </c>
      <c r="C182" s="1"/>
      <c r="D182" s="1"/>
      <c r="E182" s="1"/>
      <c r="F182" s="1"/>
      <c r="G182" s="1"/>
      <c r="N182" s="1" t="b">
        <f>indexTable[[#This Row],[Labour]]=I182</f>
        <v>1</v>
      </c>
      <c r="O182" s="1" t="b">
        <f t="shared" si="2"/>
        <v>1</v>
      </c>
      <c r="P182" s="1" t="b">
        <f t="shared" si="3"/>
        <v>1</v>
      </c>
      <c r="Q182" s="1" t="b">
        <f t="shared" si="4"/>
        <v>1</v>
      </c>
    </row>
  </sheetData>
  <mergeCells count="1">
    <mergeCell ref="I98:Q98"/>
  </mergeCells>
  <conditionalFormatting sqref="A2:F182">
    <cfRule type="expression" dxfId="44" priority="25">
      <formula>RIGHT($B2,3)="Qtr"</formula>
    </cfRule>
    <cfRule type="expression" dxfId="43" priority="26">
      <formula>OR(LEFT($B2,1)="2", LEFT($B2,1)="1")</formula>
    </cfRule>
  </conditionalFormatting>
  <conditionalFormatting sqref="A121:F121">
    <cfRule type="expression" dxfId="42" priority="23">
      <formula>RIGHT($B121,3)="Qtr"</formula>
    </cfRule>
    <cfRule type="expression" dxfId="41" priority="24">
      <formula>OR(LEFT($B121,1)="2", LEFT($B121,1)="1")</formula>
    </cfRule>
  </conditionalFormatting>
  <conditionalFormatting sqref="A142:F142">
    <cfRule type="expression" dxfId="40" priority="19">
      <formula>RIGHT($B142,3)="Qtr"</formula>
    </cfRule>
    <cfRule type="expression" dxfId="39" priority="20">
      <formula>OR(LEFT($B142,1)="2", LEFT($B142,1)="1")</formula>
    </cfRule>
  </conditionalFormatting>
  <conditionalFormatting sqref="A154:F154">
    <cfRule type="expression" dxfId="38" priority="17">
      <formula>RIGHT($B154,3)="Qtr"</formula>
    </cfRule>
    <cfRule type="expression" dxfId="37" priority="18">
      <formula>OR(LEFT($B154,1)="2", LEFT($B154,1)="1")</formula>
    </cfRule>
  </conditionalFormatting>
  <conditionalFormatting sqref="N1:Q97 N99:Q1048576">
    <cfRule type="expression" dxfId="36" priority="16">
      <formula>AND(N1=FALSE,N1&lt;&gt;"",$G1&lt;&gt;"provisional")</formula>
    </cfRule>
  </conditionalFormatting>
  <conditionalFormatting sqref="N1:Q1048576">
    <cfRule type="expression" dxfId="35" priority="15">
      <formula>N1=TRUE</formula>
    </cfRule>
  </conditionalFormatting>
  <conditionalFormatting sqref="F142">
    <cfRule type="expression" dxfId="34" priority="13">
      <formula>RIGHT($B142,3)="Qtr"</formula>
    </cfRule>
    <cfRule type="expression" dxfId="33" priority="14">
      <formula>OR(LEFT($B142,1)="2", LEFT($B142,1)="1")</formula>
    </cfRule>
  </conditionalFormatting>
  <conditionalFormatting sqref="F100">
    <cfRule type="expression" dxfId="32" priority="11">
      <formula>RIGHT($B100,3)="Qtr"</formula>
    </cfRule>
    <cfRule type="expression" dxfId="31" priority="12">
      <formula>OR(LEFT($B100,1)="2", LEFT($B100,1)="1")</formula>
    </cfRule>
  </conditionalFormatting>
  <conditionalFormatting sqref="A162:F164">
    <cfRule type="expression" dxfId="30" priority="9">
      <formula>RIGHT($B162,3)="Qtr"</formula>
    </cfRule>
    <cfRule type="expression" dxfId="29" priority="10">
      <formula>OR(LEFT($B162,1)="2", LEFT($B162,1)="1")</formula>
    </cfRule>
  </conditionalFormatting>
  <conditionalFormatting sqref="A163:F163">
    <cfRule type="expression" dxfId="28" priority="7">
      <formula>RIGHT($B163,3)="Qtr"</formula>
    </cfRule>
    <cfRule type="expression" dxfId="27" priority="8">
      <formula>OR(LEFT($B163,1)="2", LEFT($B163,1)="1")</formula>
    </cfRule>
  </conditionalFormatting>
  <conditionalFormatting sqref="F163">
    <cfRule type="expression" dxfId="26" priority="5">
      <formula>RIGHT($B163,3)="Qtr"</formula>
    </cfRule>
    <cfRule type="expression" dxfId="25" priority="6">
      <formula>OR(LEFT($B163,1)="2", LEFT($B163,1)="1")</formula>
    </cfRule>
  </conditionalFormatting>
  <conditionalFormatting sqref="A165:B182">
    <cfRule type="expression" dxfId="24" priority="3">
      <formula>RIGHT($B165,3)="Qtr"</formula>
    </cfRule>
    <cfRule type="expression" dxfId="23" priority="4">
      <formula>OR(LEFT($B165,1)="2", LEFT($B165,1)="1")</formula>
    </cfRule>
  </conditionalFormatting>
  <conditionalFormatting sqref="A175:B175">
    <cfRule type="expression" dxfId="22" priority="1">
      <formula>RIGHT($B175,3)="Qtr"</formula>
    </cfRule>
    <cfRule type="expression" dxfId="21" priority="2">
      <formula>OR(LEFT($B175,1)="2", LEFT($B175,1)="1")</formula>
    </cfRule>
  </conditionalFormatting>
  <pageMargins left="0.7" right="0.7" top="0.75" bottom="0.75" header="0.3" footer="0.3"/>
  <pageSetup paperSize="9" orientation="portrait" horizontalDpi="1200" verticalDpi="12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20</vt:i4>
      </vt:variant>
    </vt:vector>
  </HeadingPairs>
  <TitlesOfParts>
    <vt:vector size="24" baseType="lpstr">
      <vt:lpstr>For IPC</vt:lpstr>
      <vt:lpstr>pAdjAvg</vt:lpstr>
      <vt:lpstr>For Project</vt:lpstr>
      <vt:lpstr>Indices</vt:lpstr>
      <vt:lpstr>'For IPC'!a</vt:lpstr>
      <vt:lpstr>amount</vt:lpstr>
      <vt:lpstr>'For IPC'!b</vt:lpstr>
      <vt:lpstr>'For IPC'!c_</vt:lpstr>
      <vt:lpstr>completionDate</vt:lpstr>
      <vt:lpstr>'For IPC'!d</vt:lpstr>
      <vt:lpstr>dates</vt:lpstr>
      <vt:lpstr>dateType</vt:lpstr>
      <vt:lpstr>dateType1</vt:lpstr>
      <vt:lpstr>intendedCompletionDate</vt:lpstr>
      <vt:lpstr>'For IPC'!lo</vt:lpstr>
      <vt:lpstr>'For IPC'!mo</vt:lpstr>
      <vt:lpstr>'For IPC'!no</vt:lpstr>
      <vt:lpstr>originalIndex</vt:lpstr>
      <vt:lpstr>presentDate</vt:lpstr>
      <vt:lpstr>presentIndex</vt:lpstr>
      <vt:lpstr>'For IPC'!Print_Area</vt:lpstr>
      <vt:lpstr>pAdjAvg!Print_Area</vt:lpstr>
      <vt:lpstr>Remaining</vt:lpstr>
      <vt:lpstr>'For IPC'!VAT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Pragyan</dc:creator>
  <cp:lastModifiedBy>Pragyan</cp:lastModifiedBy>
  <cp:lastPrinted>2024-03-11T06:08:44Z</cp:lastPrinted>
  <dcterms:created xsi:type="dcterms:W3CDTF">2021-11-26T02:59:12Z</dcterms:created>
  <dcterms:modified xsi:type="dcterms:W3CDTF">2024-05-24T10:01:16Z</dcterms:modified>
</cp:coreProperties>
</file>