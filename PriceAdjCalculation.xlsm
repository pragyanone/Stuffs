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AFA9DF8C-649B-4C2A-BC13-61DD08DB9CB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For IPC" sheetId="5" r:id="rId1"/>
    <sheet name="pAdjAvg" sheetId="11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">pAdjAvg!$A$17</definedName>
    <definedName name="amount">projectTable[Amount Paid on
Completion (w/o VAT)]</definedName>
    <definedName name="b" localSheetId="0">'For IPC'!$B$17</definedName>
    <definedName name="b">pAdjAvg!$B$17</definedName>
    <definedName name="c_" localSheetId="0">'For IPC'!$C$17</definedName>
    <definedName name="c_">pAdjAvg!$C$17</definedName>
    <definedName name="completionDate">projectTable[Actual Date
of Completion]</definedName>
    <definedName name="d" localSheetId="0">'For IPC'!$D$17</definedName>
    <definedName name="d">pAdjAvg!$D$17</definedName>
    <definedName name="dates">ipcTable[AD Date]</definedName>
    <definedName name="dateType">'For IPC'!$W$3</definedName>
    <definedName name="dateType1">'For Project'!$Z$3</definedName>
    <definedName name="Eo">pAdjAvg!$E$12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atestAD">Indices!$R$31</definedName>
    <definedName name="LatestADSN">Indices!$R$30</definedName>
    <definedName name="LatestBS">Indices!$R$32</definedName>
    <definedName name="lo" localSheetId="0">'For IPC'!$C$12</definedName>
    <definedName name="Lo">pAdjAvg!$C$12</definedName>
    <definedName name="mo" localSheetId="0">'For IPC'!$D$12</definedName>
    <definedName name="Mo">pAdjAvg!$D$12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9" i="2" l="1"/>
  <c r="O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D24" i="11" a="1"/>
  <c r="F21" i="11" a="1"/>
  <c r="D24" i="11" l="1"/>
  <c r="F21" i="11"/>
  <c r="D9" i="10" a="1"/>
  <c r="E9" i="10"/>
  <c r="L21" i="5" a="1"/>
  <c r="E8" i="10"/>
  <c r="D8" i="10" a="1"/>
  <c r="L22" i="5" a="1"/>
  <c r="L20" i="5" a="1"/>
  <c r="L23" i="5" a="1"/>
  <c r="E24" i="11" a="1"/>
  <c r="E24" i="11" l="1"/>
  <c r="G24" i="11" s="1"/>
  <c r="D8" i="10"/>
  <c r="D9" i="10"/>
  <c r="L21" i="5"/>
  <c r="L23" i="5"/>
  <c r="L22" i="5"/>
  <c r="L20" i="5"/>
  <c r="C25" i="11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1" i="5" a="1"/>
  <c r="A13" i="5" a="1"/>
  <c r="B12" i="5" a="1"/>
  <c r="D20" i="5" a="1"/>
  <c r="D23" i="5" a="1"/>
  <c r="D22" i="5" a="1"/>
  <c r="A13" i="11" a="1"/>
  <c r="G13" i="11" a="1"/>
  <c r="B12" i="11" a="1"/>
  <c r="D22" i="11" a="1"/>
  <c r="D23" i="11" a="1"/>
  <c r="D21" i="11" a="1"/>
  <c r="B12" i="11" l="1"/>
  <c r="D23" i="5"/>
  <c r="O165" i="2"/>
  <c r="P166" i="2"/>
  <c r="P165" i="2"/>
  <c r="A13" i="11"/>
  <c r="G13" i="11"/>
  <c r="D23" i="11"/>
  <c r="D22" i="11"/>
  <c r="D21" i="11"/>
  <c r="D22" i="5"/>
  <c r="D21" i="5"/>
  <c r="D20" i="5"/>
  <c r="A13" i="5"/>
  <c r="B12" i="5"/>
  <c r="O166" i="2"/>
  <c r="Q158" i="2"/>
  <c r="G21" i="5" a="1"/>
  <c r="H21" i="5" a="1"/>
  <c r="I23" i="5" a="1"/>
  <c r="I21" i="5" a="1"/>
  <c r="D12" i="5" a="1"/>
  <c r="E12" i="5" a="1"/>
  <c r="G23" i="5" a="1"/>
  <c r="F23" i="5" a="1"/>
  <c r="H23" i="5" a="1"/>
  <c r="G22" i="5" a="1"/>
  <c r="H20" i="5" a="1"/>
  <c r="F21" i="5" a="1"/>
  <c r="B13" i="5" a="1"/>
  <c r="E21" i="5" a="1"/>
  <c r="I22" i="5" a="1"/>
  <c r="F20" i="5" a="1"/>
  <c r="E23" i="5" a="1"/>
  <c r="B14" i="5" a="1"/>
  <c r="I20" i="5" a="1"/>
  <c r="F22" i="5" a="1"/>
  <c r="E22" i="5" a="1"/>
  <c r="H22" i="5" a="1"/>
  <c r="G20" i="5" a="1"/>
  <c r="C12" i="5" a="1"/>
  <c r="B13" i="11" a="1"/>
  <c r="E23" i="11" a="1"/>
  <c r="E22" i="11" a="1"/>
  <c r="B14" i="11" a="1"/>
  <c r="D12" i="11" a="1"/>
  <c r="E21" i="11" a="1"/>
  <c r="E12" i="11" a="1"/>
  <c r="C12" i="11" a="1"/>
  <c r="D12" i="11" l="1"/>
  <c r="F20" i="5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B14" i="11"/>
  <c r="B13" i="11"/>
  <c r="E12" i="11"/>
  <c r="C12" i="11"/>
  <c r="E21" i="11"/>
  <c r="G21" i="11" s="1"/>
  <c r="E22" i="11"/>
  <c r="G22" i="11" s="1"/>
  <c r="F23" i="11" s="1"/>
  <c r="E23" i="11"/>
  <c r="E22" i="5"/>
  <c r="E21" i="5"/>
  <c r="B13" i="5"/>
  <c r="E12" i="5"/>
  <c r="C12" i="5"/>
  <c r="B14" i="5"/>
  <c r="D12" i="5"/>
  <c r="R21" i="11" a="1"/>
  <c r="G23" i="11" l="1"/>
  <c r="R21" i="11"/>
  <c r="F22" i="11"/>
  <c r="J21" i="5"/>
  <c r="K21" i="5" s="1"/>
  <c r="J23" i="5"/>
  <c r="K23" i="5" s="1"/>
  <c r="J20" i="5"/>
  <c r="J22" i="5"/>
  <c r="K22" i="5" s="1"/>
  <c r="C9" i="10" a="1"/>
  <c r="G13" i="5" a="1"/>
  <c r="R23" i="11" a="1"/>
  <c r="H21" i="11" a="1"/>
  <c r="I21" i="11" a="1"/>
  <c r="J21" i="11" a="1"/>
  <c r="K21" i="11" a="1"/>
  <c r="L21" i="11" a="1"/>
  <c r="M21" i="11" a="1"/>
  <c r="N21" i="11" a="1"/>
  <c r="R22" i="11" a="1"/>
  <c r="R23" i="11" l="1"/>
  <c r="F24" i="11"/>
  <c r="R22" i="11"/>
  <c r="N21" i="11"/>
  <c r="M21" i="11"/>
  <c r="L21" i="11"/>
  <c r="K21" i="11"/>
  <c r="J21" i="11"/>
  <c r="I21" i="11"/>
  <c r="H21" i="11"/>
  <c r="K20" i="5"/>
  <c r="C9" i="10"/>
  <c r="G13" i="5"/>
  <c r="N23" i="11" a="1"/>
  <c r="M23" i="11" a="1"/>
  <c r="L23" i="11" a="1"/>
  <c r="K23" i="11" a="1"/>
  <c r="J23" i="11" a="1"/>
  <c r="I23" i="11" a="1"/>
  <c r="H23" i="11" a="1"/>
  <c r="R24" i="11" a="1"/>
  <c r="H22" i="11" a="1"/>
  <c r="I22" i="11" a="1"/>
  <c r="J22" i="11" a="1"/>
  <c r="K22" i="11" a="1"/>
  <c r="L22" i="11" a="1"/>
  <c r="M22" i="11" a="1"/>
  <c r="N22" i="11" a="1"/>
  <c r="B3" i="10"/>
  <c r="R31" i="2" s="1" a="1"/>
  <c r="R24" i="11" l="1"/>
  <c r="H23" i="11"/>
  <c r="I23" i="11"/>
  <c r="J23" i="11"/>
  <c r="K23" i="11"/>
  <c r="L23" i="11"/>
  <c r="M23" i="11"/>
  <c r="N23" i="11"/>
  <c r="O21" i="11"/>
  <c r="P21" i="11" s="1"/>
  <c r="N22" i="11"/>
  <c r="M22" i="11"/>
  <c r="L22" i="11"/>
  <c r="K22" i="11"/>
  <c r="J22" i="11"/>
  <c r="I22" i="11"/>
  <c r="H22" i="11"/>
  <c r="R31" i="2"/>
  <c r="H24" i="11" a="1"/>
  <c r="N24" i="11" a="1"/>
  <c r="I24" i="11" a="1"/>
  <c r="L24" i="11" a="1"/>
  <c r="K24" i="11" a="1"/>
  <c r="J24" i="11" a="1"/>
  <c r="M24" i="11" a="1"/>
  <c r="R30" i="2" a="1"/>
  <c r="C3" i="10" a="1"/>
  <c r="B5" i="10" a="1"/>
  <c r="O23" i="11" l="1"/>
  <c r="P23" i="11" s="1"/>
  <c r="M24" i="11"/>
  <c r="J24" i="11"/>
  <c r="K24" i="11"/>
  <c r="L24" i="11"/>
  <c r="I24" i="11"/>
  <c r="N24" i="11"/>
  <c r="H24" i="11"/>
  <c r="O22" i="11"/>
  <c r="P22" i="11" s="1"/>
  <c r="R30" i="2"/>
  <c r="R32" i="2" s="1"/>
  <c r="B33" i="5" s="1"/>
  <c r="B5" i="10"/>
  <c r="C3" i="10"/>
  <c r="P25" i="11" l="1"/>
  <c r="P27" i="11" s="1"/>
  <c r="P28" i="11" s="1"/>
  <c r="P29" i="11" s="1"/>
  <c r="O24" i="11"/>
  <c r="P24" i="11" s="1"/>
  <c r="B4" i="10"/>
  <c r="B36" i="11"/>
  <c r="E17" i="5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<sst xmlns="http://schemas.openxmlformats.org/spreadsheetml/2006/main" count="318" uniqueCount="152">
  <si>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</si>
  <si>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</si>
  <si>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</si>
  <si>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</si>
  <si>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</si>
  <si>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</si>
  <si>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</si>
  <si>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</si>
  <si>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</si>
  <si>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</si>
  <si>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</si>
  <si>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</si>
  <si>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</si>
  <si>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</si>
  <si>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</si>
  <si>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</si>
  <si>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</si>
  <si>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</si>
  <si>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</si>
  <si>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</si>
  <si>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</si>
  <si>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</si>
  <si>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</si>
  <si>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</si>
  <si>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</si>
  <si>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</si>
  <si>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</si>
  <si>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</si>
  <si>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</si>
  <si>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</si>
  <si>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</si>
  <si>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</si>
  <si>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</si>
  <si>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</si>
  <si>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</si>
  <si>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</si>
  <si>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</si>
  <si>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</si>
  <si>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</si>
  <si>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</si>
  <si>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</si>
  <si>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</si>
  <si>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</si>
  <si>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</si>
  <si>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</si>
  <si>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</si>
  <si>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</si>
  <si>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</si>
  <si>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</si>
  <si>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</si>
  <si>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</si>
  <si>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</si>
  <si>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</si>
  <si>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</si>
  <si>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</si>
  <si>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</si>
  <si>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</si>
  <si>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</si>
  <si>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</si>
  <si>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</si>
  <si>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</si>
  <si>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</si>
  <si>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</si>
  <si>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</si>
  <si>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</si>
  <si>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</si>
  <si>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</si>
  <si>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</si>
  <si>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</si>
  <si>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</si>
  <si>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</si>
  <si>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</si>
  <si>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</si>
  <si>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</si>
  <si>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</si>
  <si>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</si>
  <si>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</si>
  <si>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</si>
  <si>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</si>
  <si>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</si>
  <si>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</si>
  <si>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</si>
  <si>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</si>
  <si>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</si>
  <si>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</si>
  <si>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</si>
  <si>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</si>
  <si>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</si>
  <si>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</si>
  <si>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</si>
  <si>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</si>
  <si>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</si>
  <si>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</si>
  <si>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</si>
  <si>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</si>
  <si>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</si>
  <si>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</si>
  <si>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</si>
  <si>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</si>
  <si>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</si>
  <si>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</si>
  <si>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</si>
  <si>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</si>
  <si>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</si>
  <si>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</si>
  <si>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</si>
  <si>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</si>
  <si>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</si>
  <si>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</si>
  <si>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</si>
  <si>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</si>
  <si>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</si>
  <si>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</si>
  <si>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</si>
  <si>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</si>
  <si>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</si>
  <si>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</si>
  <si>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</si>
  <si>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</si>
  <si>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</si>
  <si>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</si>
  <si>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</si>
  <si>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</si>
  <si>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</si>
  <si>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</si>
  <si>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</si>
  <si>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</si>
  <si>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2075-04-30</t>
  </si>
  <si>
    <t>E</t>
  </si>
  <si>
    <t>2079-07-26</t>
  </si>
  <si>
    <t>2080-09-2</t>
  </si>
  <si>
    <t>AD month</t>
  </si>
  <si>
    <t>BS Month</t>
  </si>
  <si>
    <t>Shrawan</t>
  </si>
  <si>
    <t>Bhadra</t>
  </si>
  <si>
    <t>Kartik</t>
  </si>
  <si>
    <t>Mangsir</t>
  </si>
  <si>
    <t>Paush</t>
  </si>
  <si>
    <t>Magh</t>
  </si>
  <si>
    <t>Falgun</t>
  </si>
  <si>
    <t>Chaitra</t>
  </si>
  <si>
    <t>Baishakh</t>
  </si>
  <si>
    <t>Jesth</t>
  </si>
  <si>
    <t>Ashwin</t>
  </si>
  <si>
    <t>Asadh</t>
  </si>
  <si>
    <t>Column1</t>
  </si>
  <si>
    <t>AD month No.</t>
  </si>
  <si>
    <t>Add years</t>
  </si>
  <si>
    <t>Work Start Date</t>
  </si>
  <si>
    <t>s</t>
  </si>
  <si>
    <t>Dates Correct?</t>
  </si>
  <si>
    <t>2079-01-23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</si>
</sst>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_ * #,##0.00_ ;_ * \(#,##0.00\)_ ;_ * &quot;-&quot;??_ ;_ @_ "/>
  </numFmts>
  <fonts count="57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u/>
      <sz val="16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6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170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39" fillId="0" borderId="0" xfId="74" applyFont="1" applyAlignment="1">
      <alignment vertical="center"/>
    </xf>
    <xf numFmtId="0" fontId="40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2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168" fontId="45" fillId="0" borderId="0" xfId="0" applyNumberFormat="1" applyFont="1" applyAlignment="1">
      <alignment horizontal="center"/>
    </xf>
    <xf numFmtId="2" fontId="42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2" fillId="0" borderId="9" xfId="0" applyFont="1" applyBorder="1" applyAlignment="1">
      <alignment horizontal="center"/>
    </xf>
    <xf numFmtId="14" fontId="30" fillId="0" borderId="0" xfId="0" applyNumberFormat="1" applyFont="1"/>
    <xf numFmtId="0" fontId="47" fillId="0" borderId="0" xfId="74" applyFont="1"/>
    <xf numFmtId="49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0" fontId="0" fillId="0" borderId="1" xfId="12" applyNumberFormat="1" applyFont="1" applyFill="1" applyBorder="1"/>
    <xf numFmtId="0" fontId="48" fillId="0" borderId="1" xfId="0" applyFont="1" applyBorder="1"/>
    <xf numFmtId="0" fontId="49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2" fillId="0" borderId="9" xfId="0" applyFont="1" applyBorder="1"/>
    <xf numFmtId="0" fontId="42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0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6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6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1" fillId="0" borderId="0" xfId="0" applyFont="1" applyAlignment="1">
      <alignment horizontal="center"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2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3" fillId="0" borderId="2" xfId="0" applyFont="1" applyBorder="1" applyAlignment="1">
      <alignment horizontal="center" vertical="center"/>
    </xf>
    <xf numFmtId="49" fontId="53" fillId="0" borderId="3" xfId="0" applyNumberFormat="1" applyFont="1" applyBorder="1" applyAlignment="1">
      <alignment horizontal="center" vertical="center" wrapText="1"/>
    </xf>
    <xf numFmtId="0" fontId="53" fillId="0" borderId="3" xfId="0" applyFont="1" applyBorder="1" applyAlignment="1">
      <alignment horizontal="center" vertical="center" wrapText="1"/>
    </xf>
    <xf numFmtId="0" fontId="53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4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3" fillId="0" borderId="7" xfId="12" applyFont="1" applyBorder="1"/>
    <xf numFmtId="0" fontId="54" fillId="0" borderId="6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2" fontId="8" fillId="0" borderId="14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left" wrapText="1"/>
    </xf>
    <xf numFmtId="0" fontId="11" fillId="0" borderId="1" xfId="0" applyFont="1" applyBorder="1" applyAlignment="1">
      <alignment vertical="top" wrapText="1"/>
    </xf>
    <xf numFmtId="0" fontId="42" fillId="0" borderId="6" xfId="0" applyFont="1" applyBorder="1"/>
    <xf numFmtId="0" fontId="28" fillId="0" borderId="1" xfId="74" applyFont="1" applyBorder="1" applyAlignment="1">
      <alignment vertical="center"/>
    </xf>
    <xf numFmtId="0" fontId="40" fillId="0" borderId="1" xfId="74" applyFont="1" applyBorder="1" applyAlignment="1">
      <alignment vertic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8" xfId="0" applyFont="1" applyBorder="1" applyAlignment="1">
      <alignment horizontal="center" wrapText="1"/>
    </xf>
    <xf numFmtId="0" fontId="39" fillId="0" borderId="9" xfId="0" applyFont="1" applyBorder="1" applyAlignment="1">
      <alignment horizontal="center" wrapText="1"/>
    </xf>
    <xf numFmtId="0" fontId="39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1" fillId="0" borderId="0" xfId="0" applyFont="1" applyAlignment="1">
      <alignment horizontal="center" vertical="top"/>
    </xf>
    <xf numFmtId="0" fontId="42" fillId="2" borderId="0" xfId="0" applyFont="1" applyFill="1" applyAlignment="1">
      <alignment horizontal="left" vertical="top"/>
    </xf>
    <xf numFmtId="0" fontId="42" fillId="0" borderId="0" xfId="0" applyFont="1" applyAlignment="1">
      <alignment horizontal="left" vertical="top"/>
    </xf>
    <xf numFmtId="0" fontId="55" fillId="0" borderId="0" xfId="0" applyFont="1" applyAlignment="1">
      <alignment horizontal="center" vertical="top"/>
    </xf>
    <xf numFmtId="14" fontId="30" fillId="0" borderId="1" xfId="0" applyNumberFormat="1" applyFont="1" applyFill="1" applyBorder="1" applyAlignment="1">
      <alignment horizontal="center" vertical="center"/>
    </xf>
    <xf numFmtId="0" fontId="40" fillId="0" borderId="1" xfId="74" applyNumberFormat="1" applyFont="1" applyBorder="1" applyAlignment="1">
      <alignment vertical="center"/>
    </xf>
    <xf numFmtId="0" fontId="32" fillId="0" borderId="10" xfId="63" applyFont="1" applyFill="1" applyBorder="1" applyAlignment="1">
      <alignment horizontal="center" vertical="center"/>
    </xf>
    <xf numFmtId="0" fontId="32" fillId="0" borderId="1" xfId="63" applyNumberFormat="1" applyFont="1" applyFill="1" applyBorder="1" applyAlignment="1">
      <alignment horizontal="center" vertical="center"/>
    </xf>
    <xf numFmtId="0" fontId="30" fillId="0" borderId="1" xfId="63" applyNumberFormat="1" applyFont="1" applyFill="1" applyBorder="1" applyAlignment="1">
      <alignment horizontal="center" vertical="center" wrapText="1"/>
    </xf>
    <xf numFmtId="2" fontId="32" fillId="0" borderId="1" xfId="63" applyNumberFormat="1" applyFont="1" applyFill="1" applyBorder="1" applyAlignment="1">
      <alignment horizontal="center" vertical="center" wrapText="1"/>
    </xf>
    <xf numFmtId="167" fontId="32" fillId="0" borderId="1" xfId="63" applyNumberFormat="1" applyFont="1" applyFill="1" applyBorder="1" applyAlignment="1">
      <alignment horizontal="center" vertical="center"/>
    </xf>
    <xf numFmtId="4" fontId="32" fillId="0" borderId="1" xfId="63" applyNumberFormat="1" applyFont="1" applyFill="1" applyBorder="1" applyAlignment="1">
      <alignment vertical="center"/>
    </xf>
    <xf numFmtId="0" fontId="28" fillId="0" borderId="1" xfId="63" applyFont="1" applyFill="1" applyBorder="1" applyAlignment="1">
      <alignment vertical="center"/>
    </xf>
    <xf numFmtId="0" fontId="56" fillId="0" borderId="0" xfId="0" applyFont="1" applyAlignment="1">
      <alignment horizontal="center" vertical="top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3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0" formatCode="General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9999"/>
        </patternFill>
      </fill>
    </dxf>
    <dxf>
      <font>
        <color rgb="FF9C0006"/>
      </font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ont>
        <color rgb="FF9C0006"/>
      </font>
    </dxf>
    <dxf>
      <fill>
        <patternFill>
          <bgColor rgb="FFFF9999"/>
        </patternFill>
      </fill>
    </dxf>
    <dxf>
      <font>
        <color rgb="FF9C0006"/>
      </font>
    </dxf>
    <dxf>
      <font>
        <color rgb="FFFF0000"/>
      </font>
      <fill>
        <patternFill>
          <bgColor theme="5" tint="0.79998168889431442"/>
        </patternFill>
      </fill>
    </dxf>
    <dxf>
      <font>
        <color rgb="FF9C0006"/>
      </font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0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C80"/>
      <color rgb="FFFF99CC"/>
      <color rgb="FFFF9999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31" dataDxfId="129" totalsRowDxfId="127" headerRowBorderDxfId="130" tableBorderDxfId="128" totalsRowBorderDxfId="126">
  <tableColumns count="12">
    <tableColumn id="1" xr3:uid="{00000000-0010-0000-0000-000001000000}" name="IPC No." dataDxfId="125" totalsRowDxfId="124"/>
    <tableColumn id="2" xr3:uid="{00000000-0010-0000-0000-000002000000}" name="IPC Submission_x000a_Date" dataDxfId="123" totalsRowDxfId="122"/>
    <tableColumn id="11" xr3:uid="{00000000-0010-0000-0000-00000B000000}" name="IPC Amount_x000a_for Price Adj." totalsRowFunction="sum" dataDxfId="121" totalsRowDxfId="120" dataCellStyle="Comma"/>
    <tableColumn id="8" xr3:uid="{00000000-0010-0000-0000-000008000000}" name="30 days prior to IPC Submission Date" dataDxfId="119" totalsRowDxfId="118">
      <calculatedColumnFormula array="1">ad2bs(BS2AD(ipcTable[[#This Row],[IPC Submission
Date]])-30)</calculatedColumnFormula>
    </tableColumn>
    <tableColumn id="7" xr3:uid="{00000000-0010-0000-0000-000007000000}" name="AD Date" dataDxfId="117" totalsRowDxfId="116">
      <calculatedColumnFormula array="1">BS2AD(ipcTable[[#This Row],[30 days prior to IPC Submission Date]])</calculatedColumnFormula>
    </tableColumn>
    <tableColumn id="14" xr3:uid="{00000000-0010-0000-0000-00000E000000}" name="Month" dataDxfId="115" totalsRowDxfId="114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13" totalsRowDxfId="112">
      <calculatedColumnFormula array="1">BSpAdj(ipcTable[[#This Row],[30 days prior to IPC Submission Date]],"l")</calculatedColumnFormula>
    </tableColumn>
    <tableColumn id="4" xr3:uid="{00000000-0010-0000-0000-000004000000}" name="Mn" dataDxfId="111" totalsRowDxfId="110">
      <calculatedColumnFormula array="1">BSpAdj(ipcTable[[#This Row],[30 days prior to IPC Submission Date]],"m")</calculatedColumnFormula>
    </tableColumn>
    <tableColumn id="5" xr3:uid="{00000000-0010-0000-0000-000005000000}" name="En" dataDxfId="109" totalsRowDxfId="108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107" totalsRowDxfId="106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105" totalsRowDxfId="104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103" totalsRowDxfId="102">
      <calculatedColumnFormula array="1">IF(VLOOKUP(BSpAdj(ipcTable[[#This Row],[IPC Submission
Date]],"qtr"),indexTable[],7,FALSE)="","",VLOOKUP(BSpAdj(ipcTable[[#This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R25" totalsRowCount="1" headerRowDxfId="101" dataDxfId="99" totalsRowDxfId="97" headerRowBorderDxfId="100" tableBorderDxfId="98" totalsRowBorderDxfId="96" headerRowCellStyle="Normal 7">
  <autoFilter ref="A20:R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3DF55BDF-491E-439F-8B5F-9F237FC85B53}" name="IPC No." dataDxfId="35" totalsRowDxfId="17" dataCellStyle="Normal 69 2"/>
    <tableColumn id="2" xr3:uid="{F6239E44-3AC5-4E3E-96B9-A0070C2F045F}" name="IPC Submission_x000a_ Date" dataDxfId="34" totalsRowDxfId="16"/>
    <tableColumn id="3" xr3:uid="{48B856B5-A03D-483E-9CB0-444786730854}" name="IPC Amount_x000a_ for Price Adj." totalsRowFunction="sum" dataDxfId="33" totalsRowDxfId="15" dataCellStyle="Comma"/>
    <tableColumn id="4" xr3:uid="{91645016-9D77-4CC7-B31C-4C50320520CD}" name="30 days prior to IPC Submission Date" dataDxfId="32" totalsRowDxfId="14" dataCellStyle="Normal 69 2">
      <calculatedColumnFormula array="1">ad2bs(BS2AD(Table3[[#This Row],[IPC Submission
 Date]])-30)</calculatedColumnFormula>
    </tableColumn>
    <tableColumn id="18" xr3:uid="{8DE42F6F-1EFC-4E70-9C41-0FFEBAACE45A}" name="AD Date" dataDxfId="31" totalsRowDxfId="13">
      <calculatedColumnFormula array="1">BS2AD(Table3[[#This Row],[30 days prior to IPC Submission Date]])</calculatedColumnFormula>
    </tableColumn>
    <tableColumn id="5" xr3:uid="{332C829B-9006-4E39-979C-EDB898C65202}" name="Start Date related to pAdj" dataDxfId="30" totalsRowDxfId="12">
      <calculatedColumnFormula>G20+1</calculatedColumnFormula>
    </tableColumn>
    <tableColumn id="6" xr3:uid="{EDC297F4-B4B0-43FE-9DD3-552D7229564E}" name="End Date related to pAdj" dataDxfId="29" totalsRowDxfId="11">
      <calculatedColumnFormula>Table3[[#This Row],[AD Date]]</calculatedColumnFormula>
    </tableColumn>
    <tableColumn id="7" xr3:uid="{AE4D924F-9F29-452C-8917-5EB057A5DE36}" name="Months" dataDxfId="28" totalsRowDxfId="10" dataCellStyle="Normal 69 2">
      <calculatedColumnFormula array="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calculatedColumnFormula>
    </tableColumn>
    <tableColumn id="8" xr3:uid="{BB7FF20B-0790-4FF4-990C-BB9E6B8F41CB}" name="L" dataDxfId="27" totalsRowDxfId="9" dataCellStyle="Normal 69 2">
      <calculatedColumnFormula array="1">IF(Table3[[#This Row],[Dates Correct?]],pAdjAvg($F21,$G21,"l","list"),"Check Start/End Dates")</calculatedColumnFormula>
    </tableColumn>
    <tableColumn id="9" xr3:uid="{69272227-E54E-4823-9857-33930C6E3B5E}" name="M" dataDxfId="26" totalsRowDxfId="8" dataCellStyle="Normal 69 2">
      <calculatedColumnFormula array="1">IF(Table3[[#This Row],[Dates Correct?]],pAdjAvg($F21,$G21,"m","list"),"Check Start/End Dates")</calculatedColumnFormula>
    </tableColumn>
    <tableColumn id="10" xr3:uid="{36A824B7-D079-4C93-84CC-BADFCDEF9F5D}" name="E" dataDxfId="25" totalsRowDxfId="7" dataCellStyle="Normal 69 2">
      <calculatedColumnFormula array="1">IF(Table3[[#This Row],[Dates Correct?]],pAdjAvg($F21,$G21,"e","list"),"Check Start/End Dates")</calculatedColumnFormula>
    </tableColumn>
    <tableColumn id="11" xr3:uid="{CFA393E7-59D9-40C2-9D7A-4AD03499D523}" name="Ln" dataDxfId="24" totalsRowDxfId="6" dataCellStyle="Normal 69 2">
      <calculatedColumnFormula array="1">IF(Table3[[#This Row],[Dates Correct?]],pAdjAvg($F21,$G21,"l","avg"),"Check Start/End Dates")</calculatedColumnFormula>
    </tableColumn>
    <tableColumn id="12" xr3:uid="{A8B047EE-6332-4CCB-93E0-C2A69DE619C1}" name="Mn" dataDxfId="23" totalsRowDxfId="5" dataCellStyle="Normal 69 2">
      <calculatedColumnFormula array="1">IF(Table3[[#This Row],[Dates Correct?]],pAdjAvg($F21,$G21,"m","avg"),"Check Start/End Dates")</calculatedColumnFormula>
    </tableColumn>
    <tableColumn id="13" xr3:uid="{8600E56B-9519-410A-85F8-22D157E55D85}" name="En" dataDxfId="22" totalsRowDxfId="4" dataCellStyle="Normal 69 2">
      <calculatedColumnFormula array="1">IF(Table3[[#This Row],[Dates Correct?]],pAdjAvg($F21,$G21,"e","avg"),"Check Start/End Dates")</calculatedColumnFormula>
    </tableColumn>
    <tableColumn id="14" xr3:uid="{27BC63EE-1E14-447A-A182-C6DFB1922D87}" name="*Price Adj._x000a_ factor" totalsRowLabel="TOTAL" dataDxfId="21" totalsRowDxfId="3" dataCellStyle="Normal 69 2">
      <calculatedColumnFormula>ROUND(A + b*Table3[[#This Row],[Ln]]/Lo + c_*Table3[[#This Row],[Mn]]/Mo + d*Table3[[#This Row],[En]]/Eo, 3)</calculatedColumnFormula>
    </tableColumn>
    <tableColumn id="15" xr3:uid="{9DFF2BF0-E493-42D6-BE9D-2DF810624943}" name="Net Price Adj._x000a_ Amount" totalsRowFunction="sum" dataDxfId="20" totalsRowDxfId="2" dataCellStyle="Normal 69 2">
      <calculatedColumnFormula>C21*(O21-1)</calculatedColumnFormula>
    </tableColumn>
    <tableColumn id="16" xr3:uid="{4B7FFB55-D3CB-48E8-8DD3-55C31655C642}" name="Remarks" dataDxfId="19" totalsRowDxfId="1" dataCellStyle="Normal 69 2"/>
    <tableColumn id="17" xr3:uid="{7EA5BEEC-3449-458B-AD33-9B2E46B19EB7}" name="Dates Correct?" dataDxfId="18" totalsRowDxfId="0">
      <calculatedColumnFormula array="1">padj(Table3[[#This Row],[Start Date related to pAdj]],"qtr")&lt;padj(Table3[[#This Row],[End Date related to pAdj]],"qtr")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95" dataDxfId="93" headerRowBorderDxfId="94" tableBorderDxfId="92" totalsRowBorderDxfId="91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90"/>
    <tableColumn id="2" xr3:uid="{00000000-0010-0000-0100-000002000000}" name="Actual Date_x000a_of Completion" dataDxfId="89"/>
    <tableColumn id="6" xr3:uid="{00000000-0010-0000-0100-000006000000}" name="AD Date" dataDxfId="88">
      <calculatedColumnFormula array="1">BS2AD(projectTable[[#This Row],[Actual Date
of Completion]])</calculatedColumnFormula>
    </tableColumn>
    <tableColumn id="7" xr3:uid="{00000000-0010-0000-0100-000007000000}" name="Month" dataDxfId="87">
      <calculatedColumnFormula array="1">CONCATENATE(LEFT(BSpAdj(projectTable[[#This Row],[Actual Date
of Completion]],"qtr"),5),VLOOKUP(BSpAdj(projectTable[[#This Row],[Actual Date
of Completion]],"qtr"),indexTable[],2,FALSE))</calculatedColumnFormula>
    </tableColumn>
    <tableColumn id="3" xr3:uid="{00000000-0010-0000-0100-000003000000}" name="National Wholesale_x000a_Price Index (overall)" dataDxfId="86">
      <calculatedColumnFormula>BSpAdj(projectTable[[#This Row],[Actual Date
of Completion]],"o")</calculatedColumnFormula>
    </tableColumn>
    <tableColumn id="4" xr3:uid="{00000000-0010-0000-0100-000004000000}" name="Amount Paid on_x000a_Completion (w/o VAT)" dataDxfId="85" dataCellStyle="Comma"/>
    <tableColumn id="8" xr3:uid="{EC6B288E-964C-4F28-BF5D-D5D2B9E69E1C}" name="Multplying Factor" dataDxfId="84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83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H182" totalsRowShown="0" headerRowDxfId="82" dataDxfId="81">
  <autoFilter ref="A1:H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SN" dataDxfId="80"/>
    <tableColumn id="2" xr3:uid="{00000000-0010-0000-0200-000002000000}" name="Date" dataDxfId="79"/>
    <tableColumn id="3" xr3:uid="{00000000-0010-0000-0200-000003000000}" name="Labour" dataDxfId="78"/>
    <tableColumn id="4" xr3:uid="{00000000-0010-0000-0200-000004000000}" name="Material" dataDxfId="77"/>
    <tableColumn id="5" xr3:uid="{00000000-0010-0000-0200-000005000000}" name="Equipment" dataDxfId="76"/>
    <tableColumn id="6" xr3:uid="{00000000-0010-0000-0200-000006000000}" name="Overall" dataDxfId="75"/>
    <tableColumn id="7" xr3:uid="{2143F44C-1733-4E6A-B31A-BB0A99F4134A}" name="Remarks" dataDxfId="74"/>
    <tableColumn id="8" xr3:uid="{01CE82BA-59B8-44EA-AE32-4B49949C4987}" name="Column1" dataDxfId="7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D6690-1EA5-4EA5-B38B-4BC3EA15E45D}" name="Month" displayName="Month" ref="R2:S14" totalsRowShown="0" headerRowDxfId="72">
  <autoFilter ref="R2:S14" xr:uid="{027D6690-1EA5-4EA5-B38B-4BC3EA15E45D}">
    <filterColumn colId="0" hiddenButton="1"/>
    <filterColumn colId="1" hiddenButton="1"/>
  </autoFilter>
  <tableColumns count="2">
    <tableColumn id="1" xr3:uid="{56E55A50-3875-4F36-89BE-B509C2525431}" name="AD month" dataDxfId="71"/>
    <tableColumn id="2" xr3:uid="{D9FA3EFC-AEF4-48E9-B3CC-83D0E54E5874}" name="BS Month" dataDxfId="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9A1C69-3CEB-4AC7-B12E-433076844C6F}" name="Table7" displayName="Table7" ref="R16:S28" totalsRowShown="0">
  <autoFilter ref="R16:S28" xr:uid="{AA9A1C69-3CEB-4AC7-B12E-433076844C6F}">
    <filterColumn colId="0" hiddenButton="1"/>
    <filterColumn colId="1" hiddenButton="1"/>
  </autoFilter>
  <tableColumns count="2">
    <tableColumn id="1" xr3:uid="{3CDE5BCF-10EC-4899-BC8B-90B3BBF02D10}" name="AD month No."/>
    <tableColumn id="2" xr3:uid="{C2A036F8-909D-44BC-A5D1-4DA378F5B8EB}" name="Add yea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L33"/>
  <sheetViews>
    <sheetView topLeftCell="A8" zoomScale="90" zoomScaleNormal="90" zoomScaleSheetLayoutView="85" workbookViewId="0">
      <selection activeCell="E17" sqref="E17"/>
    </sheetView>
  </sheetViews>
  <sheetFormatPr defaultColWidth="12.44140625" defaultRowHeight="14.4"/>
  <cols>
    <col min="1" max="1" width="15.33203125" bestFit="1" customWidth="1"/>
    <col min="2" max="2" width="16.33203125" customWidth="1"/>
    <col min="3" max="3" width="13.6640625" bestFit="1" customWidth="1"/>
    <col min="4" max="4" width="11" bestFit="1" customWidth="1"/>
    <col min="5" max="5" width="13.44140625" bestFit="1" customWidth="1"/>
    <col min="6" max="6" width="15.33203125" bestFit="1" customWidth="1"/>
    <col min="7" max="7" width="17" bestFit="1" customWidth="1"/>
    <col min="8" max="8" width="15.44140625" customWidth="1"/>
    <col min="9" max="9" width="10.88671875" customWidth="1"/>
    <col min="10" max="10" width="11.44140625" customWidth="1"/>
    <col min="11" max="11" width="14.5546875" customWidth="1"/>
    <col min="12" max="12" width="13.6640625" bestFit="1" customWidth="1"/>
    <col min="13" max="13" width="10.44140625" bestFit="1" customWidth="1"/>
  </cols>
  <sheetData>
    <row r="1" spans="1:12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</row>
    <row r="3" spans="1:12" ht="23.4">
      <c r="A3" s="137" t="s">
        <v>67</v>
      </c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</row>
    <row r="4" spans="1:12" ht="18">
      <c r="A4" s="141" t="s">
        <v>99</v>
      </c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</row>
    <row r="5" spans="1:12">
      <c r="A5" t="s">
        <v>89</v>
      </c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</row>
    <row r="6" spans="1:12">
      <c r="A6" t="s">
        <v>66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</row>
    <row r="7" spans="1:12">
      <c r="A7" t="s">
        <v>44</v>
      </c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</row>
    <row r="8" spans="1:12" ht="30.75" customHeight="1">
      <c r="A8" s="74" t="s">
        <v>43</v>
      </c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</row>
    <row r="10" spans="1:12" ht="33" customHeight="1">
      <c r="A10" s="143" t="s">
        <v>92</v>
      </c>
      <c r="B10" s="147" t="s">
        <v>76</v>
      </c>
      <c r="C10" s="144" t="s">
        <v>77</v>
      </c>
      <c r="D10" s="145"/>
      <c r="E10" s="146"/>
      <c r="G10" s="147" t="s">
        <v>148</v>
      </c>
    </row>
    <row r="11" spans="1:12" ht="15.6">
      <c r="A11" s="143"/>
      <c r="B11" s="148"/>
      <c r="C11" s="77" t="s">
        <v>81</v>
      </c>
      <c r="D11" s="77" t="s">
        <v>82</v>
      </c>
      <c r="E11" s="77" t="s">
        <v>83</v>
      </c>
      <c r="F11" s="78"/>
      <c r="G11" s="148"/>
    </row>
    <row r="12" spans="1:12">
      <c r="A12" s="9" t="s">
        <v>117</v>
      </c>
      <c r="B12" s="127" t="str" cm="1">
        <f t="array" ref="B12">ad2bs(BS2AD(A12)-30)</f>
        <v>2077-12-5</v>
      </c>
      <c r="C12" s="79" cm="1">
        <f t="array" ref="C12">BSpAdj($B$12,"l")</f>
        <v>514.52547814384309</v>
      </c>
      <c r="D12" s="79" cm="1">
        <f t="array" ref="D12">BSpAdj($B$12,"m")</f>
        <v>109.27761</v>
      </c>
      <c r="E12" s="79" cm="1">
        <f t="array" ref="E12">BSpAdj($B$12,"e")</f>
        <v>113.512</v>
      </c>
      <c r="G12" s="9" t="s">
        <v>94</v>
      </c>
    </row>
    <row r="13" spans="1:12">
      <c r="A13" s="11" t="str" cm="1">
        <f t="array" ref="A13">CONCATENATE("(",BS2AD(A12)," AD)")</f>
        <v>(2021-4-17 AD)</v>
      </c>
      <c r="B13" s="11" t="str" cm="1">
        <f t="array" ref="B13">CONCATENATE("(",BS2AD(B12)," AD)")</f>
        <v>(2021-3-18 AD)</v>
      </c>
      <c r="G13" s="11" t="str" cm="1">
        <f t="array" ref="G13">CONCATENATE("(",BS2AD(G12)," AD)")</f>
        <v>(2021-5-15 AD)</v>
      </c>
      <c r="I13" s="8"/>
    </row>
    <row r="14" spans="1:12">
      <c r="A14" s="5"/>
      <c r="B14" s="11" t="str" cm="1">
        <f t="array" ref="B14">CONCATENATE("(",CONCATENATE(LEFT(BSpAdj(B12,"qtr"),5),VLOOKUP(BSpAdj(B12,"qtr"),indexTable[],2)),")")</f>
        <v>(2021.Mar/Apr)</v>
      </c>
    </row>
    <row r="15" spans="1:12">
      <c r="A15" s="142" t="s">
        <v>45</v>
      </c>
      <c r="B15" s="142"/>
      <c r="C15" s="142"/>
      <c r="D15" s="142"/>
      <c r="E15" s="142"/>
    </row>
    <row r="16" spans="1:12" ht="28.8">
      <c r="A16" s="75" t="s">
        <v>88</v>
      </c>
      <c r="B16" s="75" t="s">
        <v>51</v>
      </c>
      <c r="C16" s="75" t="s">
        <v>52</v>
      </c>
      <c r="D16" s="75" t="s">
        <v>53</v>
      </c>
      <c r="E16" s="77" t="s">
        <v>46</v>
      </c>
    </row>
    <row r="17" spans="1:12">
      <c r="A17" s="79">
        <v>0.15</v>
      </c>
      <c r="B17" s="4">
        <v>0.3</v>
      </c>
      <c r="C17" s="4">
        <v>0.4</v>
      </c>
      <c r="D17" s="4">
        <v>0.15</v>
      </c>
      <c r="E17" s="79">
        <f>SUM(A17:D17)</f>
        <v>1</v>
      </c>
    </row>
    <row r="18" spans="1:12" ht="40.5" customHeight="1">
      <c r="G18" s="135" t="s">
        <v>50</v>
      </c>
      <c r="H18" s="135"/>
      <c r="I18" s="135"/>
    </row>
    <row r="19" spans="1:12" ht="48">
      <c r="A19" s="81" t="s">
        <v>49</v>
      </c>
      <c r="B19" s="82" t="s">
        <v>91</v>
      </c>
      <c r="C19" s="82" t="s">
        <v>54</v>
      </c>
      <c r="D19" s="14" t="s">
        <v>71</v>
      </c>
      <c r="E19" s="82" t="s">
        <v>68</v>
      </c>
      <c r="F19" s="82" t="s">
        <v>72</v>
      </c>
      <c r="G19" s="77" t="s">
        <v>84</v>
      </c>
      <c r="H19" s="77" t="s">
        <v>85</v>
      </c>
      <c r="I19" s="77" t="s">
        <v>86</v>
      </c>
      <c r="J19" s="82" t="s">
        <v>87</v>
      </c>
      <c r="K19" s="76" t="s">
        <v>47</v>
      </c>
      <c r="L19" s="83" t="s">
        <v>74</v>
      </c>
    </row>
    <row r="20" spans="1:12">
      <c r="A20" s="80">
        <v>1</v>
      </c>
      <c r="B20" s="92" t="s">
        <v>118</v>
      </c>
      <c r="C20" s="84">
        <v>1000000</v>
      </c>
      <c r="D20" s="80" t="str" cm="1">
        <f t="array" ref="D20">ad2bs(BS2AD(ipcTable[[#This Row],[IPC Submission
Date]])-30)</f>
        <v>2078-4-30</v>
      </c>
      <c r="E20" s="18" t="str" cm="1">
        <f t="array" ref="E20">BS2AD(ipcTable[[#This Row],[30 days prior to IPC Submission Date]])</f>
        <v>2021-8-14</v>
      </c>
      <c r="F20" s="10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79" cm="1">
        <f t="array" ref="G20">BSpAdj(ipcTable[[#This Row],[30 days prior to IPC Submission Date]],"l")</f>
        <v>523.74690026221117</v>
      </c>
      <c r="H20" s="79" cm="1">
        <f t="array" ref="H20">BSpAdj(ipcTable[[#This Row],[30 days prior to IPC Submission Date]],"m")</f>
        <v>116.11561</v>
      </c>
      <c r="I20" s="79" cm="1">
        <f t="array" ref="I20">BSpAdj(ipcTable[[#This Row],[30 days prior to IPC Submission Date]],"e")</f>
        <v>120.54096</v>
      </c>
      <c r="J20" s="85">
        <f>ROUND(a + b*ipcTable[[#This Row],[Ln]]/lo + c_*ipcTable[[#This Row],[Mn]]/mo + d*ipcTable[[#This Row],[En]]/no, 3)</f>
        <v>1.04</v>
      </c>
      <c r="K20" s="86">
        <f>ROUND((ipcTable[[#This Row],[*Price Adj.
factor]]-1) * ipcTable[[#This Row],[IPC Amount
for Price Adj.]],2)</f>
        <v>40000</v>
      </c>
      <c r="L20" s="87" t="str" cm="1">
        <f t="array" ref="L20">IF(VLOOKUP(BSpAdj(ipcTable[[#This Row],[IPC Submission
Date]],"qtr"),indexTable[],7,FALSE)="","",VLOOKUP(BSpAdj(ipcTable[[#This Row],[IPC Submission
Date]],"qtr"),indexTable[],7,FALSE))</f>
        <v/>
      </c>
    </row>
    <row r="21" spans="1:12">
      <c r="A21" s="80">
        <v>2</v>
      </c>
      <c r="B21" s="92" t="s">
        <v>119</v>
      </c>
      <c r="C21" s="84">
        <v>1000000</v>
      </c>
      <c r="D21" s="80" t="str" cm="1">
        <f t="array" ref="D21">ad2bs(BS2AD(ipcTable[[#This Row],[IPC Submission
Date]])-30)</f>
        <v>2078-7-16</v>
      </c>
      <c r="E21" s="18" t="str" cm="1">
        <f t="array" ref="E21">BS2AD(ipcTable[[#This Row],[30 days prior to IPC Submission Date]])</f>
        <v>2021-11-2</v>
      </c>
      <c r="F21" s="10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79" cm="1">
        <f t="array" ref="G21">BSpAdj(ipcTable[[#This Row],[30 days prior to IPC Submission Date]],"l")</f>
        <v>524.63804289344193</v>
      </c>
      <c r="H21" s="79" cm="1">
        <f t="array" ref="H21">BSpAdj(ipcTable[[#This Row],[30 days prior to IPC Submission Date]],"m")</f>
        <v>125.55852</v>
      </c>
      <c r="I21" s="79" cm="1">
        <f t="array" ref="I21">BSpAdj(ipcTable[[#This Row],[30 days prior to IPC Submission Date]],"e")</f>
        <v>122.78874</v>
      </c>
      <c r="J21" s="85">
        <f>ROUND(a + b*ipcTable[[#This Row],[Ln]]/lo + c_*ipcTable[[#This Row],[Mn]]/mo + d*ipcTable[[#This Row],[En]]/no, 3)</f>
        <v>1.0780000000000001</v>
      </c>
      <c r="K21" s="38">
        <f>ROUND((ipcTable[[#This Row],[*Price Adj.
factor]]-1) * ipcTable[[#This Row],[IPC Amount
for Price Adj.]],2)</f>
        <v>78000</v>
      </c>
      <c r="L21" s="87" t="str" cm="1">
        <f t="array" ref="L21">IF(VLOOKUP(BSpAdj(ipcTable[[#This Row],[IPC Submission
Date]],"qtr"),indexTable[],7,FALSE)="","",VLOOKUP(BSpAdj(ipcTable[[#This Row],[IPC Submission
Date]],"qtr"),indexTable[],7,FALSE))</f>
        <v/>
      </c>
    </row>
    <row r="22" spans="1:12">
      <c r="A22" s="80">
        <v>3</v>
      </c>
      <c r="B22" s="92" t="s">
        <v>129</v>
      </c>
      <c r="C22" s="84">
        <v>1000000</v>
      </c>
      <c r="D22" s="80" t="str" cm="1">
        <f t="array" ref="D22">ad2bs(BS2AD(ipcTable[[#This Row],[IPC Submission
Date]])-30)</f>
        <v>2079-6-27</v>
      </c>
      <c r="E22" s="18" t="str" cm="1">
        <f t="array" ref="E22">BS2AD(ipcTable[[#This Row],[30 days prior to IPC Submission Date]])</f>
        <v>2022-10-13</v>
      </c>
      <c r="F22" s="10" t="str" cm="1">
        <f t="array" ref="F22">CONCATENATE(LEFT(BSpAdj(ipcTable[[#This Row],[30 days prior to IPC Submission Date]],"qtr"),5),VLOOKUP(BSpAdj(ipcTable[[#This Row],[30 days prior to IPC Submission Date]],"qtr"),indexTable[],2))</f>
        <v>2022.Sep/Oct</v>
      </c>
      <c r="G22" s="79" cm="1">
        <f t="array" ref="G22">BSpAdj(ipcTable[[#This Row],[30 days prior to IPC Submission Date]],"l")</f>
        <v>572.5602013037668</v>
      </c>
      <c r="H22" s="79" cm="1">
        <f t="array" ref="H22">BSpAdj(ipcTable[[#This Row],[30 days prior to IPC Submission Date]],"m")</f>
        <v>138.77884</v>
      </c>
      <c r="I22" s="79" cm="1">
        <f t="array" ref="I22">BSpAdj(ipcTable[[#This Row],[30 days prior to IPC Submission Date]],"e")</f>
        <v>130.10400000000001</v>
      </c>
      <c r="J22" s="85">
        <f>ROUND(a + b*ipcTable[[#This Row],[Ln]]/lo + c_*ipcTable[[#This Row],[Mn]]/mo + d*ipcTable[[#This Row],[En]]/no, 3)</f>
        <v>1.1639999999999999</v>
      </c>
      <c r="K22" s="38">
        <f>ROUND((ipcTable[[#This Row],[*Price Adj.
factor]]-1) * ipcTable[[#This Row],[IPC Amount
for Price Adj.]],2)</f>
        <v>164000</v>
      </c>
      <c r="L22" s="87" t="str" cm="1">
        <f t="array" ref="L22">IF(VLOOKUP(BSpAdj(ipcTable[[#This Row],[IPC Submission
Date]],"qtr"),indexTable[],7,FALSE)="","",VLOOKUP(BSpAdj(ipcTable[[#This Row],[IPC Submission
Date]],"qtr"),indexTable[],7,FALSE))</f>
        <v/>
      </c>
    </row>
    <row r="23" spans="1:12">
      <c r="A23" s="80">
        <v>4</v>
      </c>
      <c r="B23" s="92" t="s">
        <v>130</v>
      </c>
      <c r="C23" s="128">
        <v>1500000</v>
      </c>
      <c r="D23" s="80" t="str" cm="1">
        <f t="array" ref="D23">ad2bs(BS2AD(ipcTable[[#This Row],[IPC Submission
Date]])-30)</f>
        <v>2080-8-2</v>
      </c>
      <c r="E23" s="18" t="str" cm="1">
        <f t="array" ref="E23">BS2AD(ipcTable[[#This Row],[30 days prior to IPC Submission Date]])</f>
        <v>2023-11-18</v>
      </c>
      <c r="F23" s="10" t="str" cm="1">
        <f t="array" ref="F23">CONCATENATE(LEFT(BSpAdj(ipcTable[[#This Row],[30 days prior to IPC Submission Date]],"qtr"),5),VLOOKUP(BSpAdj(ipcTable[[#This Row],[30 days prior to IPC Submission Date]],"qtr"),indexTable[],2))</f>
        <v>2023.Nov/Dec</v>
      </c>
      <c r="G23" s="79" cm="1">
        <f t="array" ref="G23">BSpAdj(ipcTable[[#This Row],[30 days prior to IPC Submission Date]],"l")</f>
        <v>592.29047897948431</v>
      </c>
      <c r="H23" s="79" cm="1">
        <f t="array" ref="H23">BSpAdj(ipcTable[[#This Row],[30 days prior to IPC Submission Date]],"m")</f>
        <v>137.61363</v>
      </c>
      <c r="I23" s="79" cm="1">
        <f t="array" ref="I23">BSpAdj(ipcTable[[#This Row],[30 days prior to IPC Submission Date]],"e")</f>
        <v>136.22429</v>
      </c>
      <c r="J23" s="85">
        <f>ROUND(a + b*ipcTable[[#This Row],[Ln]]/lo + c_*ipcTable[[#This Row],[Mn]]/mo + d*ipcTable[[#This Row],[En]]/no, 3)</f>
        <v>1.179</v>
      </c>
      <c r="K23" s="38">
        <f>ROUND((ipcTable[[#This Row],[*Price Adj.
factor]]-1) * ipcTable[[#This Row],[IPC Amount
for Price Adj.]],2)</f>
        <v>268500</v>
      </c>
      <c r="L23" s="87" t="str" cm="1">
        <f t="array" ref="L23">IF(VLOOKUP(BSpAdj(ipcTable[[#This Row],[IPC Submission
Date]],"qtr"),indexTable[],7,FALSE)="","",VLOOKUP(BSpAdj(ipcTable[[#This Row],[IPC Submission
Date]],"qtr"),indexTable[],7,FALSE))</f>
        <v/>
      </c>
    </row>
    <row r="24" spans="1:12">
      <c r="A24" s="6"/>
      <c r="B24" s="6"/>
      <c r="C24" s="6">
        <f>SUBTOTAL(109,ipcTable[IPC Amount
for Price Adj.])</f>
        <v>4500000</v>
      </c>
      <c r="D24" s="6"/>
      <c r="E24" s="15"/>
      <c r="F24" s="15"/>
      <c r="G24" s="6"/>
      <c r="H24" s="6"/>
      <c r="I24" s="6"/>
      <c r="J24" s="7" t="s">
        <v>46</v>
      </c>
      <c r="K24" s="16">
        <f>SUBTOTAL(109,ipcTable[Net Price Adj.
Amount])</f>
        <v>550500</v>
      </c>
      <c r="L24" s="88"/>
    </row>
    <row r="25" spans="1:12">
      <c r="A25" s="6"/>
      <c r="B25" s="6"/>
      <c r="C25" s="6"/>
      <c r="D25" s="15"/>
      <c r="E25" s="15"/>
      <c r="F25" s="6"/>
      <c r="G25" s="6"/>
      <c r="H25" s="6"/>
      <c r="I25" s="6"/>
      <c r="J25" s="23" t="s">
        <v>100</v>
      </c>
      <c r="K25" s="17">
        <v>100000</v>
      </c>
      <c r="L25" s="88"/>
    </row>
    <row r="26" spans="1:12">
      <c r="A26" s="6"/>
      <c r="B26" s="6"/>
      <c r="C26" s="6"/>
      <c r="D26" s="15"/>
      <c r="E26" s="15"/>
      <c r="F26" s="6"/>
      <c r="G26" s="6"/>
      <c r="H26" s="6"/>
      <c r="I26" s="6"/>
      <c r="J26" s="7" t="s">
        <v>101</v>
      </c>
      <c r="K26" s="6">
        <f>ipcTable[[#Totals],[Net Price Adj.
Amount]]-K25</f>
        <v>450500</v>
      </c>
      <c r="L26" s="88"/>
    </row>
    <row r="27" spans="1:12" ht="15" thickBot="1">
      <c r="A27" s="12" t="s">
        <v>69</v>
      </c>
      <c r="B27" s="12"/>
      <c r="C27" s="6"/>
      <c r="D27" s="6"/>
      <c r="E27" s="6"/>
      <c r="F27" s="6"/>
      <c r="G27" s="6"/>
      <c r="H27" s="6"/>
      <c r="I27" s="6"/>
      <c r="J27" s="19" t="s">
        <v>55</v>
      </c>
      <c r="K27" s="20">
        <f>Remaining*13%</f>
        <v>58565</v>
      </c>
    </row>
    <row r="28" spans="1:12" ht="15" thickTop="1">
      <c r="A28" s="13" t="s">
        <v>96</v>
      </c>
      <c r="B28" s="13"/>
      <c r="C28" s="6"/>
      <c r="D28" s="6"/>
      <c r="E28" s="6"/>
      <c r="F28" s="6"/>
      <c r="G28" s="6"/>
      <c r="H28" s="6"/>
      <c r="I28" s="6"/>
      <c r="J28" s="7" t="s">
        <v>56</v>
      </c>
      <c r="K28" s="6">
        <f>Remaining+VAT</f>
        <v>509065</v>
      </c>
    </row>
    <row r="29" spans="1:12">
      <c r="A29" s="13" t="s">
        <v>97</v>
      </c>
      <c r="B29" s="13"/>
      <c r="C29" s="12"/>
      <c r="D29" s="12"/>
      <c r="E29" s="12"/>
      <c r="F29" s="12"/>
      <c r="G29" s="12"/>
      <c r="H29" s="12"/>
      <c r="I29" s="12"/>
      <c r="J29" s="12"/>
    </row>
    <row r="30" spans="1:12">
      <c r="A30" s="21" t="s">
        <v>98</v>
      </c>
      <c r="C30" s="13"/>
      <c r="D30" s="13"/>
      <c r="E30" s="13"/>
      <c r="F30" s="13"/>
      <c r="G30" s="13"/>
      <c r="H30" s="13"/>
      <c r="I30" s="13"/>
      <c r="J30" s="13"/>
    </row>
    <row r="31" spans="1:12">
      <c r="C31" s="13"/>
      <c r="D31" s="13"/>
      <c r="E31" s="13"/>
      <c r="F31" s="13"/>
      <c r="G31" s="13"/>
      <c r="H31" s="13"/>
      <c r="I31" s="13"/>
      <c r="J31" s="13"/>
    </row>
    <row r="32" spans="1:12" ht="28.8">
      <c r="A32" s="22" t="s">
        <v>70</v>
      </c>
      <c r="B32" s="22"/>
    </row>
    <row r="33" spans="1:3">
      <c r="A33" s="89" t="s">
        <v>95</v>
      </c>
      <c r="B33" s="90" t="str">
        <f ca="1">LatestAD&amp;" ("&amp;LatestBS&amp;")"</f>
        <v>2024.Jun/Jul (2081.Asadh)</v>
      </c>
      <c r="C33" s="90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62" priority="4" operator="lessThan">
      <formula>0</formula>
    </cfRule>
  </conditionalFormatting>
  <conditionalFormatting sqref="E17">
    <cfRule type="cellIs" dxfId="61" priority="2" operator="notEqual">
      <formula>1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R36"/>
  <sheetViews>
    <sheetView tabSelected="1" zoomScale="90" zoomScaleNormal="90" workbookViewId="0">
      <selection activeCell="B7" sqref="B7:Q7"/>
    </sheetView>
  </sheetViews>
  <sheetFormatPr defaultColWidth="12.5546875" defaultRowHeight="15.75" customHeight="1"/>
  <cols>
    <col min="1" max="1" width="15.33203125" style="55" customWidth="1"/>
    <col min="2" max="2" width="15.5546875" style="55" customWidth="1"/>
    <col min="3" max="3" width="15.88671875" style="55" customWidth="1"/>
    <col min="4" max="4" width="11" style="55" customWidth="1"/>
    <col min="5" max="5" width="10.33203125" style="55" customWidth="1"/>
    <col min="6" max="6" width="12.5546875" style="55" bestFit="1" customWidth="1"/>
    <col min="7" max="7" width="13.6640625" style="55" customWidth="1"/>
    <col min="8" max="8" width="15.88671875" style="55" customWidth="1"/>
    <col min="9" max="11" width="16.33203125" style="55" customWidth="1"/>
    <col min="12" max="14" width="6.88671875" style="55" customWidth="1"/>
    <col min="15" max="15" width="9.88671875" style="55" customWidth="1"/>
    <col min="16" max="16" width="13.6640625" style="55" customWidth="1"/>
    <col min="17" max="17" width="8.5546875" style="55" bestFit="1" customWidth="1"/>
    <col min="18" max="18" width="0" style="55" hidden="1" customWidth="1"/>
    <col min="19" max="16384" width="12.5546875" style="55"/>
  </cols>
  <sheetData>
    <row r="1" spans="1:17" ht="14.4">
      <c r="A1" s="149"/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24"/>
      <c r="N1" s="24"/>
      <c r="O1" s="25"/>
      <c r="P1" s="25"/>
      <c r="Q1" s="25"/>
    </row>
    <row r="2" spans="1:17" ht="14.4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25"/>
      <c r="N2" s="25"/>
      <c r="O2" s="25"/>
      <c r="P2" s="25"/>
      <c r="Q2" s="25"/>
    </row>
    <row r="3" spans="1:17" ht="23.4">
      <c r="A3" s="162" t="s">
        <v>67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</row>
    <row r="4" spans="1:17" ht="21">
      <c r="A4" s="175" t="s">
        <v>99</v>
      </c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</row>
    <row r="5" spans="1:17" ht="14.4">
      <c r="A5" s="56" t="s">
        <v>89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</row>
    <row r="6" spans="1:17" ht="14.4">
      <c r="A6" s="56" t="s">
        <v>66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</row>
    <row r="7" spans="1:17" ht="14.4">
      <c r="A7" s="56" t="s">
        <v>44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</row>
    <row r="8" spans="1:17" ht="30.75" customHeight="1">
      <c r="A8" s="57" t="s">
        <v>43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</row>
    <row r="9" spans="1:17" ht="14.4">
      <c r="A9" s="25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25"/>
      <c r="P9" s="25"/>
      <c r="Q9" s="25"/>
    </row>
    <row r="10" spans="1:17" ht="14.4">
      <c r="A10" s="153" t="s">
        <v>92</v>
      </c>
      <c r="B10" s="154" t="s">
        <v>76</v>
      </c>
      <c r="C10" s="156" t="s">
        <v>77</v>
      </c>
      <c r="D10" s="157"/>
      <c r="E10" s="158"/>
      <c r="F10" s="56"/>
      <c r="G10" s="150" t="s">
        <v>78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26.25" customHeight="1">
      <c r="A11" s="153"/>
      <c r="B11" s="155"/>
      <c r="C11" s="59" t="s">
        <v>124</v>
      </c>
      <c r="D11" s="59" t="s">
        <v>125</v>
      </c>
      <c r="E11" s="59" t="s">
        <v>126</v>
      </c>
      <c r="F11" s="60"/>
      <c r="G11" s="151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4.4">
      <c r="A12" s="61" t="s">
        <v>117</v>
      </c>
      <c r="B12" s="126" t="str" cm="1">
        <f t="array" ref="B12">ad2bs(BS2AD(A12)-30)</f>
        <v>2077-12-5</v>
      </c>
      <c r="C12" s="62" cm="1">
        <f t="array" ref="C12">BSpAdj($B$12,"l")</f>
        <v>514.52547814384309</v>
      </c>
      <c r="D12" s="62" cm="1">
        <f t="array" ref="D12">BSpAdj($B$12,"m")</f>
        <v>109.27761</v>
      </c>
      <c r="E12" s="62" cm="1">
        <f t="array" ref="E12">BSpAdj($B$12,"e")</f>
        <v>113.512</v>
      </c>
      <c r="F12" s="56"/>
      <c r="G12" s="61" t="s">
        <v>94</v>
      </c>
      <c r="H12" s="25"/>
      <c r="I12" s="25"/>
      <c r="J12" s="25"/>
      <c r="K12" s="25"/>
      <c r="L12" s="25"/>
      <c r="M12" s="25"/>
      <c r="N12" s="25"/>
      <c r="O12" s="25"/>
      <c r="P12" s="25" t="s">
        <v>149</v>
      </c>
      <c r="Q12" s="25"/>
    </row>
    <row r="13" spans="1:17" ht="14.4">
      <c r="A13" s="63" t="str" cm="1">
        <f t="array" ref="A13">CONCATENATE("(",BS2AD(A12)," AD)")</f>
        <v>(2021-4-17 AD)</v>
      </c>
      <c r="B13" s="63" t="str" cm="1">
        <f t="array" ref="B13">CONCATENATE("(",BS2AD(B12)," AD)")</f>
        <v>(2021-3-18 AD)</v>
      </c>
      <c r="C13" s="56"/>
      <c r="D13" s="56"/>
      <c r="E13" s="56"/>
      <c r="F13" s="56"/>
      <c r="G13" s="63" t="str" cm="1">
        <f t="array" ref="G13">CONCATENATE("(",BS2AD(G12)," AD)")</f>
        <v>(2021-5-15 AD)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4.4">
      <c r="A14" s="64"/>
      <c r="B14" s="63" t="str" cm="1">
        <f t="array" ref="B14">CONCATENATE("(",CONCATENATE(LEFT(BSpAdj(B12,"qtr"),5),VLOOKUP(BSpAdj(B12,"qtr"),indexTable[],2)),")")</f>
        <v>(2021.Mar/Apr)</v>
      </c>
      <c r="C14" s="56"/>
      <c r="D14" s="56"/>
      <c r="E14" s="56"/>
      <c r="F14" s="56"/>
      <c r="G14" s="56"/>
      <c r="I14" s="26"/>
      <c r="J14" s="25"/>
      <c r="K14" s="25"/>
      <c r="L14" s="25"/>
      <c r="M14" s="25"/>
      <c r="N14" s="25"/>
      <c r="O14" s="25"/>
      <c r="P14" s="25"/>
      <c r="Q14" s="25"/>
    </row>
    <row r="15" spans="1:17" ht="14.4">
      <c r="A15" s="152" t="s">
        <v>45</v>
      </c>
      <c r="B15" s="152"/>
      <c r="C15" s="152"/>
      <c r="D15" s="152"/>
      <c r="E15" s="152"/>
      <c r="F15" s="56"/>
      <c r="G15" s="56"/>
      <c r="H15" s="27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28.8">
      <c r="A16" s="58" t="s">
        <v>88</v>
      </c>
      <c r="B16" s="58" t="s">
        <v>51</v>
      </c>
      <c r="C16" s="58" t="s">
        <v>52</v>
      </c>
      <c r="D16" s="58" t="s">
        <v>53</v>
      </c>
      <c r="E16" s="59" t="s">
        <v>46</v>
      </c>
      <c r="F16" s="56"/>
      <c r="G16" s="56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8" ht="14.4">
      <c r="A17" s="62">
        <v>0.15</v>
      </c>
      <c r="B17" s="65">
        <v>0.3</v>
      </c>
      <c r="C17" s="65">
        <v>0.4</v>
      </c>
      <c r="D17" s="65">
        <v>0.15</v>
      </c>
      <c r="E17" s="62">
        <f>SUM(A17:D17)</f>
        <v>1</v>
      </c>
      <c r="F17" s="56"/>
      <c r="G17" s="56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8" s="56" customFormat="1" ht="14.4"/>
    <row r="19" spans="1:18" ht="14.4">
      <c r="A19" s="25"/>
      <c r="B19" s="25"/>
      <c r="C19" s="25"/>
      <c r="D19" s="25"/>
      <c r="E19" s="25"/>
      <c r="I19" s="159" t="s">
        <v>104</v>
      </c>
      <c r="J19" s="160"/>
      <c r="K19" s="161"/>
      <c r="L19" s="159" t="s">
        <v>105</v>
      </c>
      <c r="M19" s="160"/>
      <c r="N19" s="161"/>
      <c r="O19" s="25"/>
      <c r="P19" s="25"/>
      <c r="Q19" s="25"/>
    </row>
    <row r="20" spans="1:18" ht="48">
      <c r="A20" s="42" t="s">
        <v>49</v>
      </c>
      <c r="B20" s="43" t="s">
        <v>106</v>
      </c>
      <c r="C20" s="43" t="s">
        <v>107</v>
      </c>
      <c r="D20" s="44" t="s">
        <v>71</v>
      </c>
      <c r="E20" s="44" t="s">
        <v>68</v>
      </c>
      <c r="F20" s="44" t="s">
        <v>108</v>
      </c>
      <c r="G20" s="44" t="s">
        <v>109</v>
      </c>
      <c r="H20" s="43" t="s">
        <v>110</v>
      </c>
      <c r="I20" s="43" t="s">
        <v>121</v>
      </c>
      <c r="J20" s="43" t="s">
        <v>122</v>
      </c>
      <c r="K20" s="43" t="s">
        <v>128</v>
      </c>
      <c r="L20" s="43" t="s">
        <v>111</v>
      </c>
      <c r="M20" s="43" t="s">
        <v>112</v>
      </c>
      <c r="N20" s="43" t="s">
        <v>113</v>
      </c>
      <c r="O20" s="43" t="s">
        <v>114</v>
      </c>
      <c r="P20" s="43" t="s">
        <v>115</v>
      </c>
      <c r="Q20" s="45" t="s">
        <v>74</v>
      </c>
      <c r="R20" s="43" t="s">
        <v>150</v>
      </c>
    </row>
    <row r="21" spans="1:18" ht="43.2">
      <c r="A21" s="41">
        <v>1</v>
      </c>
      <c r="B21" s="66" t="s">
        <v>118</v>
      </c>
      <c r="C21" s="67">
        <v>1000000</v>
      </c>
      <c r="D21" s="59" t="str" cm="1">
        <f t="array" ref="D21">ad2bs(BS2AD(Table3[[#This Row],[IPC Submission
 Date]])-30)</f>
        <v>2078-4-30</v>
      </c>
      <c r="E21" s="103" t="str" cm="1">
        <f t="array" ref="E21">BS2AD(Table3[[#This Row],[30 days prior to IPC Submission Date]])</f>
        <v>2021-8-14</v>
      </c>
      <c r="F21" s="101" t="str" cm="1">
        <f t="array" ref="F21">BS2AD(G12)</f>
        <v>2021-5-15</v>
      </c>
      <c r="G21" s="101" t="str">
        <f>Table3[[#This Row],[AD Date]]</f>
        <v>2021-8-14</v>
      </c>
      <c r="H21" s="39" t="str" cm="1">
        <f t="array" ref="H2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2021.Apr/May
to
2021.Jul/Aug</v>
      </c>
      <c r="I21" s="40" t="str" cm="1">
        <f t="array" ref="I21">IF(Table3[[#This Row],[Dates Correct?]],pAdjAvg($F21,$G21,"l","list"),"Check Start/End Dates")</f>
        <v>514.53, 515.85, 521.97, 523.75</v>
      </c>
      <c r="J21" s="40" t="str" cm="1">
        <f t="array" ref="J21">IF(Table3[[#This Row],[Dates Correct?]],pAdjAvg($F21,$G21,"m","list"),"Check Start/End Dates")</f>
        <v>111.42, 111.90, 114.14, 116.12</v>
      </c>
      <c r="K21" s="40" t="str" cm="1">
        <f t="array" ref="K21">IF(Table3[[#This Row],[Dates Correct?]],pAdjAvg($F21,$G21,"e","list"),"Check Start/End Dates")</f>
        <v>113.69, 113.69, 113.69, 120.54</v>
      </c>
      <c r="L21" s="40" cm="1">
        <f t="array" ref="L21">IF(Table3[[#This Row],[Dates Correct?]],pAdjAvg($F21,$G21,"l","avg"),"Check Start/End Dates")</f>
        <v>519.02118077298587</v>
      </c>
      <c r="M21" s="40" cm="1">
        <f t="array" ref="M21">IF(Table3[[#This Row],[Dates Correct?]],pAdjAvg($F21,$G21,"m","avg"),"Check Start/End Dates")</f>
        <v>113.39241250000001</v>
      </c>
      <c r="N21" s="40" cm="1">
        <f t="array" ref="N21">IF(Table3[[#This Row],[Dates Correct?]],pAdjAvg($F21,$G21,"e","avg"),"Check Start/End Dates")</f>
        <v>115.4008425</v>
      </c>
      <c r="O21" s="46">
        <f>ROUND(A + b*Table3[[#This Row],[Ln]]/Lo + c_*Table3[[#This Row],[Mn]]/Mo + d*Table3[[#This Row],[En]]/Eo, 3)</f>
        <v>1.02</v>
      </c>
      <c r="P21" s="47">
        <f>C21*(O21-1)</f>
        <v>20000.000000000018</v>
      </c>
      <c r="Q21" s="133"/>
      <c r="R21" s="134" t="b" cm="1">
        <f t="array" ref="R21">padj(Table3[[#This Row],[Start Date related to pAdj]],"qtr")&lt;padj(Table3[[#This Row],[End Date related to pAdj]],"qtr")</f>
        <v>1</v>
      </c>
    </row>
    <row r="22" spans="1:18" ht="43.2">
      <c r="A22" s="41">
        <v>2</v>
      </c>
      <c r="B22" s="66" t="s">
        <v>119</v>
      </c>
      <c r="C22" s="67">
        <v>1000000</v>
      </c>
      <c r="D22" s="59" t="str" cm="1">
        <f t="array" ref="D22">ad2bs(BS2AD(Table3[[#This Row],[IPC Submission
 Date]])-30)</f>
        <v>2078-7-16</v>
      </c>
      <c r="E22" s="103" t="str" cm="1">
        <f t="array" ref="E22">BS2AD(Table3[[#This Row],[30 days prior to IPC Submission Date]])</f>
        <v>2021-11-2</v>
      </c>
      <c r="F22" s="101">
        <f t="shared" ref="F22:F23" si="0">G21+1</f>
        <v>44423</v>
      </c>
      <c r="G22" s="101" t="str">
        <f>Table3[[#This Row],[AD Date]]</f>
        <v>2021-11-2</v>
      </c>
      <c r="H22" s="39" t="str" cm="1">
        <f t="array" ref="H22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2021.Jul/Aug
to
2021.Oct/Nov</v>
      </c>
      <c r="I22" s="40" t="str" cm="1">
        <f t="array" ref="I22">IF(Table3[[#This Row],[Dates Correct?]],pAdjAvg($F22,$G22,"l","list"),"Check Start/End Dates")</f>
        <v>523.75, 523.75, 523.75, 524.64</v>
      </c>
      <c r="J22" s="40" t="str" cm="1">
        <f t="array" ref="J22">IF(Table3[[#This Row],[Dates Correct?]],pAdjAvg($F22,$G22,"m","list"),"Check Start/End Dates")</f>
        <v>116.12, 116.21, 116.36, 125.56</v>
      </c>
      <c r="K22" s="40" t="str" cm="1">
        <f t="array" ref="K22">IF(Table3[[#This Row],[Dates Correct?]],pAdjAvg($F22,$G22,"e","list"),"Check Start/End Dates")</f>
        <v>120.54, 120.54, 120.54, 122.79</v>
      </c>
      <c r="L22" s="40" cm="1">
        <f t="array" ref="L22">IF(Table3[[#This Row],[Dates Correct?]],pAdjAvg($F22,$G22,"l","avg"),"Check Start/End Dates")</f>
        <v>523.96968592001895</v>
      </c>
      <c r="M22" s="40" cm="1">
        <f t="array" ref="M22">IF(Table3[[#This Row],[Dates Correct?]],pAdjAvg($F22,$G22,"m","avg"),"Check Start/End Dates")</f>
        <v>118.5598325</v>
      </c>
      <c r="N22" s="40" cm="1">
        <f t="array" ref="N22">IF(Table3[[#This Row],[Dates Correct?]],pAdjAvg($F22,$G22,"e","avg"),"Check Start/End Dates")</f>
        <v>121.10290500000001</v>
      </c>
      <c r="O22" s="46">
        <f>ROUND(A + b*Table3[[#This Row],[Ln]]/Lo + c_*Table3[[#This Row],[Mn]]/Mo + d*Table3[[#This Row],[En]]/Eo, 3)</f>
        <v>1.05</v>
      </c>
      <c r="P22" s="47">
        <f>C22*(O22-1)</f>
        <v>50000.000000000044</v>
      </c>
      <c r="Q22" s="133"/>
      <c r="R22" s="134" t="b" cm="1">
        <f t="array" ref="R22">padj(Table3[[#This Row],[Start Date related to pAdj]],"qtr")&lt;padj(Table3[[#This Row],[End Date related to pAdj]],"qtr")</f>
        <v>1</v>
      </c>
    </row>
    <row r="23" spans="1:18" ht="43.2">
      <c r="A23" s="48">
        <v>3</v>
      </c>
      <c r="B23" s="68" t="s">
        <v>120</v>
      </c>
      <c r="C23" s="69">
        <v>1000000</v>
      </c>
      <c r="D23" s="104" t="str" cm="1">
        <f t="array" ref="D23">ad2bs(BS2AD(Table3[[#This Row],[IPC Submission
 Date]])-30)</f>
        <v>2078-9-26</v>
      </c>
      <c r="E23" s="105" t="str" cm="1">
        <f t="array" ref="E23">BS2AD(Table3[[#This Row],[30 days prior to IPC Submission Date]])</f>
        <v>2022-1-10</v>
      </c>
      <c r="F23" s="102">
        <f t="shared" si="0"/>
        <v>44503</v>
      </c>
      <c r="G23" s="102" t="str">
        <f>Table3[[#This Row],[AD Date]]</f>
        <v>2022-1-10</v>
      </c>
      <c r="H23" s="49" t="str" cm="1">
        <f t="array" ref="H23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2021.Oct/Nov
to
2022.Dec/Jan</v>
      </c>
      <c r="I23" s="50" t="str" cm="1">
        <f t="array" ref="I23">IF(Table3[[#This Row],[Dates Correct?]],pAdjAvg($F23,$G23,"l","list"),"Check Start/End Dates")</f>
        <v>524.64, 526.89, 526.89</v>
      </c>
      <c r="J23" s="50" t="str" cm="1">
        <f t="array" ref="J23">IF(Table3[[#This Row],[Dates Correct?]],pAdjAvg($F23,$G23,"m","list"),"Check Start/End Dates")</f>
        <v>125.56, 125.35, 125.88</v>
      </c>
      <c r="K23" s="50" t="str" cm="1">
        <f t="array" ref="K23">IF(Table3[[#This Row],[Dates Correct?]],pAdjAvg($F23,$G23,"e","list"),"Check Start/End Dates")</f>
        <v>122.79, 122.79, 122.79</v>
      </c>
      <c r="L23" s="50" cm="1">
        <f t="array" ref="L23">IF(Table3[[#This Row],[Dates Correct?]],pAdjAvg($F23,$G23,"l","avg"),"Check Start/End Dates")</f>
        <v>526.14251003667562</v>
      </c>
      <c r="M23" s="50" cm="1">
        <f t="array" ref="M23">IF(Table3[[#This Row],[Dates Correct?]],pAdjAvg($F23,$G23,"m","avg"),"Check Start/End Dates")</f>
        <v>125.59500666666666</v>
      </c>
      <c r="N23" s="50" cm="1">
        <f t="array" ref="N23">IF(Table3[[#This Row],[Dates Correct?]],pAdjAvg($F23,$G23,"e","avg"),"Check Start/End Dates")</f>
        <v>122.78874</v>
      </c>
      <c r="O23" s="51">
        <f>ROUND(A + b*Table3[[#This Row],[Ln]]/Lo + c_*Table3[[#This Row],[Mn]]/Mo + d*Table3[[#This Row],[En]]/Eo, 3)</f>
        <v>1.079</v>
      </c>
      <c r="P23" s="52">
        <f>C23*(O23-1)</f>
        <v>78999.999999999956</v>
      </c>
      <c r="Q23" s="133"/>
      <c r="R23" s="134" t="b" cm="1">
        <f t="array" ref="R23">padj(Table3[[#This Row],[Start Date related to pAdj]],"qtr")&lt;padj(Table3[[#This Row],[End Date related to pAdj]],"qtr")</f>
        <v>1</v>
      </c>
    </row>
    <row r="24" spans="1:18" ht="43.2">
      <c r="A24" s="168">
        <v>4</v>
      </c>
      <c r="B24" s="66" t="s">
        <v>151</v>
      </c>
      <c r="C24" s="91">
        <v>2000000</v>
      </c>
      <c r="D24" s="169" t="str" cm="1">
        <f t="array" ref="D24">ad2bs(BS2AD(Table3[[#This Row],[IPC Submission
 Date]])-30)</f>
        <v>2078-12-23</v>
      </c>
      <c r="E24" s="166" t="str" cm="1">
        <f t="array" ref="E24">BS2AD(Table3[[#This Row],[30 days prior to IPC Submission Date]])</f>
        <v>2022-4-6</v>
      </c>
      <c r="F24" s="101">
        <f>G23+1</f>
        <v>44572</v>
      </c>
      <c r="G24" s="101" t="str">
        <f>Table3[[#This Row],[AD Date]]</f>
        <v>2022-4-6</v>
      </c>
      <c r="H24" s="170" t="str" cm="1">
        <f t="array" ref="H24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2022.Dec/Jan
to
2022.Mar/Apr</v>
      </c>
      <c r="I24" s="171" t="str" cm="1">
        <f t="array" ref="I24">IF(Table3[[#This Row],[Dates Correct?]],pAdjAvg($F24,$G24,"l","list"),"Check Start/End Dates")</f>
        <v>526.89, 526.89, 533.10, 541.77</v>
      </c>
      <c r="J24" s="171" t="str" cm="1">
        <f t="array" ref="J24">IF(Table3[[#This Row],[Dates Correct?]],pAdjAvg($F24,$G24,"m","list"),"Check Start/End Dates")</f>
        <v>125.88, 127.54, 134.44, 136.84</v>
      </c>
      <c r="K24" s="171" t="str" cm="1">
        <f t="array" ref="K24">IF(Table3[[#This Row],[Dates Correct?]],pAdjAvg($F24,$G24,"e","list"),"Check Start/End Dates")</f>
        <v>122.79, 122.93, 122.93, 122.93</v>
      </c>
      <c r="L24" s="171" cm="1">
        <f t="array" ref="L24">IF(Table3[[#This Row],[Dates Correct?]],pAdjAvg($F24,$G24,"l","avg"),"Check Start/End Dates")</f>
        <v>532.16448379266114</v>
      </c>
      <c r="M24" s="171" cm="1">
        <f t="array" ref="M24">IF(Table3[[#This Row],[Dates Correct?]],pAdjAvg($F24,$G24,"m","avg"),"Check Start/End Dates")</f>
        <v>131.17152849999999</v>
      </c>
      <c r="N24" s="171" cm="1">
        <f t="array" ref="N24">IF(Table3[[#This Row],[Dates Correct?]],pAdjAvg($F24,$G24,"e","avg"),"Check Start/End Dates")</f>
        <v>122.89607549999999</v>
      </c>
      <c r="O24" s="172">
        <f>ROUND(A + b*Table3[[#This Row],[Ln]]/Lo + c_*Table3[[#This Row],[Mn]]/Mo + d*Table3[[#This Row],[En]]/Eo, 3)</f>
        <v>1.103</v>
      </c>
      <c r="P24" s="173">
        <f>C24*(O24-1)</f>
        <v>205999.99999999997</v>
      </c>
      <c r="Q24" s="174"/>
      <c r="R24" s="167" t="b" cm="1">
        <f t="array" ref="R24">padj(Table3[[#This Row],[Start Date related to pAdj]],"qtr")&lt;padj(Table3[[#This Row],[End Date related to pAdj]],"qtr")</f>
        <v>1</v>
      </c>
    </row>
    <row r="25" spans="1:18" ht="14.4">
      <c r="A25" s="93"/>
      <c r="B25" s="70"/>
      <c r="C25" s="94">
        <f>SUBTOTAL(109,Table3[IPC Amount
 for Price Adj.])</f>
        <v>5000000</v>
      </c>
      <c r="D25" s="53"/>
      <c r="E25" s="70"/>
      <c r="F25" s="95"/>
      <c r="G25" s="95"/>
      <c r="H25" s="96"/>
      <c r="I25" s="97"/>
      <c r="J25" s="97"/>
      <c r="K25" s="97"/>
      <c r="L25" s="97"/>
      <c r="M25" s="97"/>
      <c r="N25" s="97"/>
      <c r="O25" s="100" t="s">
        <v>46</v>
      </c>
      <c r="P25" s="98">
        <f>SUBTOTAL(109,Table3[Net Price Adj.
 Amount])</f>
        <v>355000</v>
      </c>
      <c r="Q25" s="99"/>
      <c r="R25" s="132"/>
    </row>
    <row r="26" spans="1:18" ht="14.4">
      <c r="A26" s="27"/>
      <c r="B26" s="28"/>
      <c r="C26" s="28"/>
      <c r="D26" s="28"/>
      <c r="E26" s="28"/>
      <c r="F26" s="28"/>
      <c r="G26" s="29"/>
      <c r="H26" s="28"/>
      <c r="I26" s="28"/>
      <c r="J26" s="28"/>
      <c r="K26" s="28"/>
      <c r="L26" s="28"/>
      <c r="M26" s="28"/>
      <c r="N26" s="28"/>
      <c r="O26" s="30" t="s">
        <v>100</v>
      </c>
      <c r="P26" s="31">
        <v>100000</v>
      </c>
      <c r="Q26" s="28"/>
    </row>
    <row r="27" spans="1:18" ht="14.4">
      <c r="A27" s="28"/>
      <c r="B27" s="28"/>
      <c r="C27" s="28"/>
      <c r="D27" s="28"/>
      <c r="E27" s="28"/>
      <c r="F27" s="28"/>
      <c r="G27" s="29"/>
      <c r="H27" s="28"/>
      <c r="I27" s="28"/>
      <c r="J27" s="28"/>
      <c r="K27" s="28"/>
      <c r="L27" s="28"/>
      <c r="M27" s="28"/>
      <c r="N27" s="28"/>
      <c r="O27" s="32" t="s">
        <v>101</v>
      </c>
      <c r="P27" s="33">
        <f>Table3[[#Totals],[Net Price Adj.
 Amount]]-P26</f>
        <v>255000</v>
      </c>
      <c r="Q27" s="28"/>
    </row>
    <row r="28" spans="1:18" ht="15" thickBot="1">
      <c r="A28" s="34" t="s">
        <v>69</v>
      </c>
      <c r="B28" s="34"/>
      <c r="C28" s="28"/>
      <c r="D28" s="28"/>
      <c r="E28" s="28"/>
      <c r="F28" s="28"/>
      <c r="G28" s="71"/>
      <c r="H28" s="56"/>
      <c r="I28" s="56"/>
      <c r="J28" s="28"/>
      <c r="K28" s="28"/>
      <c r="L28" s="28"/>
      <c r="M28" s="28"/>
      <c r="N28" s="28"/>
      <c r="O28" s="35" t="s">
        <v>55</v>
      </c>
      <c r="P28" s="36">
        <f>P27*13%</f>
        <v>33150</v>
      </c>
      <c r="Q28" s="25"/>
    </row>
    <row r="29" spans="1:18" ht="15" thickTop="1">
      <c r="A29" s="37" t="s">
        <v>96</v>
      </c>
      <c r="B29" s="37"/>
      <c r="C29" s="37"/>
      <c r="D29" s="37"/>
      <c r="E29" s="37"/>
      <c r="F29" s="37"/>
      <c r="G29" s="71"/>
      <c r="H29" s="56"/>
      <c r="I29" s="56"/>
      <c r="J29" s="28"/>
      <c r="K29" s="28"/>
      <c r="L29" s="28"/>
      <c r="M29" s="28"/>
      <c r="N29" s="28"/>
      <c r="O29" s="32" t="s">
        <v>56</v>
      </c>
      <c r="P29" s="33">
        <f>P27+P28</f>
        <v>288150</v>
      </c>
      <c r="Q29" s="25"/>
    </row>
    <row r="30" spans="1:18" ht="15.75" customHeight="1">
      <c r="A30" s="72" t="s">
        <v>116</v>
      </c>
      <c r="B30" s="72"/>
      <c r="C30" s="72"/>
      <c r="D30" s="72"/>
      <c r="E30" s="72"/>
      <c r="F30" s="34"/>
      <c r="G30" s="73"/>
      <c r="H30" s="56"/>
      <c r="I30" s="56"/>
      <c r="J30" s="34"/>
      <c r="K30" s="25"/>
      <c r="L30" s="25"/>
      <c r="M30" s="25"/>
      <c r="N30" s="25"/>
      <c r="O30" s="25"/>
      <c r="P30" s="25"/>
      <c r="Q30" s="25"/>
    </row>
    <row r="31" spans="1:18" ht="15.75" customHeight="1">
      <c r="A31" s="72" t="s">
        <v>98</v>
      </c>
      <c r="B31" s="72"/>
      <c r="C31" s="72"/>
      <c r="D31" s="72"/>
      <c r="E31" s="72"/>
      <c r="F31" s="37"/>
      <c r="G31" s="73"/>
      <c r="H31" s="56"/>
      <c r="I31" s="56"/>
      <c r="J31" s="37"/>
      <c r="K31" s="25"/>
      <c r="L31" s="25"/>
      <c r="M31" s="25"/>
      <c r="N31" s="25"/>
      <c r="O31" s="25"/>
      <c r="P31" s="25"/>
      <c r="Q31" s="25"/>
    </row>
    <row r="33" spans="1:2" ht="13.8"/>
    <row r="34" spans="1:2" ht="13.8"/>
    <row r="35" spans="1:2" ht="28.8">
      <c r="A35" s="106" t="s">
        <v>70</v>
      </c>
      <c r="B35" s="106"/>
    </row>
    <row r="36" spans="1:2" ht="15.75" customHeight="1">
      <c r="A36" s="89" t="s">
        <v>95</v>
      </c>
      <c r="B36" s="90" t="str">
        <f ca="1">LatestAD&amp;" ("&amp;LatestBS&amp;")"</f>
        <v>2024.Jun/Jul (2081.Asadh)</v>
      </c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38" type="noConversion"/>
  <conditionalFormatting sqref="E17">
    <cfRule type="cellIs" dxfId="60" priority="1" operator="notEqual">
      <formula>1</formula>
    </cfRule>
  </conditionalFormatting>
  <printOptions horizontalCentered="1"/>
  <pageMargins left="0.25" right="0.25" top="0.75" bottom="0.75" header="0.3" footer="0.3"/>
  <pageSetup paperSize="9" scale="67" pageOrder="overThenDown" orientation="landscape" blackAndWhite="1" cellComments="atEnd" r:id="rId1"/>
  <ignoredErrors>
    <ignoredError sqref="F21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H9"/>
  <sheetViews>
    <sheetView showGridLines="0" topLeftCell="A4" zoomScale="90" zoomScaleNormal="90" zoomScaleSheetLayoutView="100" workbookViewId="0">
      <selection activeCell="B4" sqref="B4"/>
    </sheetView>
  </sheetViews>
  <sheetFormatPr defaultColWidth="9.109375" defaultRowHeight="15.6"/>
  <cols>
    <col min="1" max="1" width="47.33203125" style="108" customWidth="1"/>
    <col min="2" max="2" width="14.5546875" style="108" bestFit="1" customWidth="1"/>
    <col min="3" max="3" width="19.6640625" style="108" bestFit="1" customWidth="1"/>
    <col min="4" max="4" width="18.5546875" style="108" bestFit="1" customWidth="1"/>
    <col min="5" max="5" width="20.88671875" style="108" customWidth="1"/>
    <col min="6" max="6" width="20.44140625" style="108" customWidth="1"/>
    <col min="7" max="7" width="14.44140625" style="108" bestFit="1" customWidth="1"/>
    <col min="8" max="8" width="21.33203125" style="108" bestFit="1" customWidth="1"/>
    <col min="9" max="16384" width="9.109375" style="108"/>
  </cols>
  <sheetData>
    <row r="1" spans="1:8" ht="25.8">
      <c r="A1" s="165" t="s">
        <v>90</v>
      </c>
      <c r="B1" s="165"/>
      <c r="C1" s="165"/>
      <c r="D1" s="165"/>
      <c r="E1" s="165"/>
      <c r="F1" s="165"/>
      <c r="G1" s="165"/>
      <c r="H1" s="165"/>
    </row>
    <row r="2" spans="1:8" ht="36.75" customHeight="1">
      <c r="A2" s="107"/>
      <c r="B2" s="107"/>
      <c r="C2" s="107"/>
      <c r="D2" s="107"/>
      <c r="E2" s="107"/>
      <c r="F2" s="107"/>
      <c r="G2" s="107"/>
      <c r="H2" s="107"/>
    </row>
    <row r="3" spans="1:8">
      <c r="A3" s="109" t="s">
        <v>58</v>
      </c>
      <c r="B3" s="110" t="str">
        <f ca="1">ad2bs(TODAY())</f>
        <v>2081-5-27</v>
      </c>
      <c r="C3" s="111" t="str" cm="1">
        <f t="array" aca="1" ref="C3" ca="1">CONCATENATE("(",BS2AD(presentDate)," AD)")</f>
        <v>(2024-9-12 AD)</v>
      </c>
    </row>
    <row r="4" spans="1:8" ht="31.8" customHeight="1">
      <c r="A4" s="131" t="s">
        <v>73</v>
      </c>
      <c r="B4" s="130" t="str">
        <f ca="1">LatestAD&amp;" ("&amp;LatestBS&amp;")"</f>
        <v>2024.Jun/Jul (2081.Asadh)</v>
      </c>
    </row>
    <row r="5" spans="1:8" ht="31.2">
      <c r="A5" s="112" t="s">
        <v>60</v>
      </c>
      <c r="B5" s="113" cm="1">
        <f t="array" aca="1" ref="B5" ca="1">BSpAdj(presentDate,"o")</f>
        <v>154.43961999999999</v>
      </c>
    </row>
    <row r="7" spans="1:8" ht="46.8">
      <c r="A7" s="114" t="s">
        <v>59</v>
      </c>
      <c r="B7" s="115" t="s">
        <v>61</v>
      </c>
      <c r="C7" s="115" t="s">
        <v>68</v>
      </c>
      <c r="D7" s="115" t="s">
        <v>72</v>
      </c>
      <c r="E7" s="116" t="s">
        <v>62</v>
      </c>
      <c r="F7" s="116" t="s">
        <v>63</v>
      </c>
      <c r="G7" s="117" t="s">
        <v>79</v>
      </c>
      <c r="H7" s="117" t="s">
        <v>64</v>
      </c>
    </row>
    <row r="8" spans="1:8">
      <c r="A8" s="118" t="s">
        <v>65</v>
      </c>
      <c r="B8" s="119" t="s">
        <v>102</v>
      </c>
      <c r="C8" s="120" t="str" cm="1">
        <f t="array" ref="C8">BS2AD(projectTable[[#This Row],[Actual Date
of Completion]])</f>
        <v>2020-8-14</v>
      </c>
      <c r="D8" s="120" t="str" cm="1">
        <f t="array" ref="D8">CONCATENATE(LEFT(BSpAdj(projectTable[[#This Row],[Actual Date
of Completion]],"qtr"),5),VLOOKUP(BSpAdj(projectTable[[#This Row],[Actual Date
of Completion]],"qtr"),indexTable[],2,FALSE))</f>
        <v>2020.Jul/Aug</v>
      </c>
      <c r="E8" s="121">
        <f>BSpAdj(projectTable[[#This Row],[Actual Date
of Completion]],"o")</f>
        <v>122.57004499999999</v>
      </c>
      <c r="F8" s="122">
        <v>10000000</v>
      </c>
      <c r="G8" s="123">
        <f ca="1">presentIndex/projectTable[[#This Row],[National Wholesale
Price Index (overall)]]</f>
        <v>1.2600111226197233</v>
      </c>
      <c r="H8" s="124">
        <f ca="1">projectTable[[#This Row],[Amount Paid on
Completion (w/o VAT)]]*projectTable[[#This Row],[Multplying Factor]]</f>
        <v>12600111.226197233</v>
      </c>
    </row>
    <row r="9" spans="1:8">
      <c r="A9" s="118" t="s">
        <v>80</v>
      </c>
      <c r="B9" s="119" t="s">
        <v>127</v>
      </c>
      <c r="C9" s="125" t="str" cm="1">
        <f t="array" ref="C9">BS2AD(projectTable[[#This Row],[Actual Date
of Completion]])</f>
        <v>2018-8-15</v>
      </c>
      <c r="D9" s="120" t="str" cm="1">
        <f t="array" ref="D9">CONCATENATE(LEFT(BSpAdj(projectTable[[#This Row],[Actual Date
of Completion]],"qtr"),5),VLOOKUP(BSpAdj(projectTable[[#This Row],[Actual Date
of Completion]],"qtr"),indexTable[],2,FALSE))</f>
        <v>2018.Jul/Aug</v>
      </c>
      <c r="E9" s="121">
        <f>BSpAdj(projectTable[[#This Row],[Actual Date
of Completion]],"o")</f>
        <v>105.48023000000001</v>
      </c>
      <c r="F9" s="122">
        <v>20000000</v>
      </c>
      <c r="G9" s="123">
        <f ca="1">presentIndex/projectTable[[#This Row],[National Wholesale
Price Index (overall)]]</f>
        <v>1.4641570273405735</v>
      </c>
      <c r="H9" s="124">
        <f ca="1">projectTable[[#This Row],[Amount Paid on
Completion (w/o VAT)]]*projectTable[[#This Row],[Multplying Factor]]</f>
        <v>29283140.546811469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S182"/>
  <sheetViews>
    <sheetView topLeftCell="A12" zoomScaleNormal="100" workbookViewId="0">
      <selection activeCell="R30" sqref="R30"/>
    </sheetView>
  </sheetViews>
  <sheetFormatPr defaultRowHeight="14.4"/>
  <cols>
    <col min="2" max="2" width="8.6640625" bestFit="1" customWidth="1"/>
    <col min="3" max="3" width="9.5546875" bestFit="1" customWidth="1"/>
    <col min="4" max="4" width="10.6640625" customWidth="1"/>
    <col min="5" max="6" width="12.88671875" customWidth="1"/>
    <col min="7" max="7" width="10.88671875" bestFit="1" customWidth="1"/>
    <col min="9" max="9" width="10.44140625" style="1" bestFit="1" customWidth="1"/>
    <col min="10" max="10" width="6.5546875" style="1" bestFit="1" customWidth="1"/>
    <col min="11" max="12" width="9.109375" style="1"/>
    <col min="14" max="14" width="6.109375" bestFit="1" customWidth="1"/>
    <col min="17" max="17" width="11.44140625" customWidth="1"/>
    <col min="18" max="18" width="13.109375" bestFit="1" customWidth="1"/>
    <col min="20" max="20" width="13.109375" bestFit="1" customWidth="1"/>
    <col min="21" max="21" width="11.21875" customWidth="1"/>
  </cols>
  <sheetData>
    <row r="1" spans="1:1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  <c r="H1" s="3" t="s">
        <v>145</v>
      </c>
    </row>
    <row r="2" spans="1:19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  <c r="H2" s="1"/>
      <c r="R2" s="1" t="s">
        <v>131</v>
      </c>
      <c r="S2" s="1" t="s">
        <v>132</v>
      </c>
    </row>
    <row r="3" spans="1:19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  <c r="H3" s="1"/>
      <c r="R3" s="1" t="s">
        <v>12</v>
      </c>
      <c r="S3" s="1" t="s">
        <v>133</v>
      </c>
    </row>
    <row r="4" spans="1:19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  <c r="H4" s="1"/>
      <c r="R4" s="1" t="s">
        <v>13</v>
      </c>
      <c r="S4" s="1" t="s">
        <v>134</v>
      </c>
    </row>
    <row r="5" spans="1:19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  <c r="H5" s="1"/>
      <c r="R5" s="1" t="s">
        <v>14</v>
      </c>
      <c r="S5" s="1" t="s">
        <v>143</v>
      </c>
    </row>
    <row r="6" spans="1:19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  <c r="H6" s="1"/>
      <c r="R6" s="1" t="s">
        <v>16</v>
      </c>
      <c r="S6" s="1" t="s">
        <v>135</v>
      </c>
    </row>
    <row r="7" spans="1:19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  <c r="H7" s="1"/>
      <c r="R7" s="1" t="s">
        <v>17</v>
      </c>
      <c r="S7" s="1" t="s">
        <v>136</v>
      </c>
    </row>
    <row r="8" spans="1:19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  <c r="H8" s="1"/>
      <c r="R8" s="1" t="s">
        <v>18</v>
      </c>
      <c r="S8" s="1" t="s">
        <v>137</v>
      </c>
    </row>
    <row r="9" spans="1:19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  <c r="H9" s="1"/>
      <c r="R9" s="1" t="s">
        <v>20</v>
      </c>
      <c r="S9" s="1" t="s">
        <v>138</v>
      </c>
    </row>
    <row r="10" spans="1:19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  <c r="H10" s="1"/>
      <c r="R10" s="1" t="s">
        <v>21</v>
      </c>
      <c r="S10" s="1" t="s">
        <v>139</v>
      </c>
    </row>
    <row r="11" spans="1:19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  <c r="H11" s="1"/>
      <c r="R11" s="1" t="s">
        <v>22</v>
      </c>
      <c r="S11" s="1" t="s">
        <v>140</v>
      </c>
    </row>
    <row r="12" spans="1:19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  <c r="H12" s="1"/>
      <c r="R12" s="1" t="s">
        <v>24</v>
      </c>
      <c r="S12" s="1" t="s">
        <v>141</v>
      </c>
    </row>
    <row r="13" spans="1:19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  <c r="H13" s="1"/>
      <c r="R13" s="1" t="s">
        <v>25</v>
      </c>
      <c r="S13" s="1" t="s">
        <v>142</v>
      </c>
    </row>
    <row r="14" spans="1:19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  <c r="H14" s="1"/>
      <c r="R14" s="1" t="s">
        <v>26</v>
      </c>
      <c r="S14" s="1" t="s">
        <v>144</v>
      </c>
    </row>
    <row r="15" spans="1:19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  <c r="H15" s="1"/>
    </row>
    <row r="16" spans="1:19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  <c r="H16" s="1"/>
      <c r="R16" t="s">
        <v>146</v>
      </c>
      <c r="S16" t="s">
        <v>147</v>
      </c>
    </row>
    <row r="17" spans="1:19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  <c r="H17" s="1"/>
      <c r="R17">
        <v>8</v>
      </c>
      <c r="S17">
        <v>57</v>
      </c>
    </row>
    <row r="18" spans="1:19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  <c r="H18" s="1"/>
      <c r="R18">
        <v>9</v>
      </c>
      <c r="S18">
        <v>57</v>
      </c>
    </row>
    <row r="19" spans="1:19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  <c r="H19" s="1"/>
      <c r="R19">
        <v>10</v>
      </c>
      <c r="S19">
        <v>57</v>
      </c>
    </row>
    <row r="20" spans="1:19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  <c r="H20" s="1"/>
      <c r="R20">
        <v>11</v>
      </c>
      <c r="S20">
        <v>57</v>
      </c>
    </row>
    <row r="21" spans="1:19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  <c r="H21" s="1"/>
      <c r="R21">
        <v>12</v>
      </c>
      <c r="S21">
        <v>57</v>
      </c>
    </row>
    <row r="22" spans="1:19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  <c r="H22" s="1"/>
      <c r="R22">
        <v>1</v>
      </c>
      <c r="S22">
        <v>56</v>
      </c>
    </row>
    <row r="23" spans="1:19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  <c r="H23" s="1"/>
      <c r="R23">
        <v>2</v>
      </c>
      <c r="S23">
        <v>56</v>
      </c>
    </row>
    <row r="24" spans="1:19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  <c r="H24" s="1"/>
      <c r="R24">
        <v>3</v>
      </c>
      <c r="S24">
        <v>56</v>
      </c>
    </row>
    <row r="25" spans="1:19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  <c r="H25" s="1"/>
      <c r="R25">
        <v>4</v>
      </c>
      <c r="S25">
        <v>56</v>
      </c>
    </row>
    <row r="26" spans="1:19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  <c r="H26" s="1"/>
      <c r="R26">
        <v>5</v>
      </c>
      <c r="S26">
        <v>57</v>
      </c>
    </row>
    <row r="27" spans="1:19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  <c r="H27" s="1"/>
      <c r="R27">
        <v>6</v>
      </c>
      <c r="S27">
        <v>57</v>
      </c>
    </row>
    <row r="28" spans="1:19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  <c r="H28" s="1"/>
      <c r="R28">
        <v>7</v>
      </c>
      <c r="S28">
        <v>57</v>
      </c>
    </row>
    <row r="29" spans="1:19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  <c r="H29" s="1"/>
    </row>
    <row r="30" spans="1:19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  <c r="H30" s="1"/>
      <c r="R30" t="str" cm="1">
        <f t="array" aca="1" ref="R30" ca="1">TEXT(BSpAdj(presentDate,"qtr"),"0000.00")</f>
        <v>2024.07</v>
      </c>
    </row>
    <row r="31" spans="1:19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  <c r="H31" s="1"/>
      <c r="R31" t="str" cm="1">
        <f t="array" aca="1" ref="R31" ca="1">CONCATENATE(LEFT(BSpAdj(presentDate,"qtr"),5),VLOOKUP(BSpAdj(presentDate,"qtr"),indexTable[],2,FALSE))</f>
        <v>2024.Jun/Jul</v>
      </c>
    </row>
    <row r="32" spans="1:19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  <c r="H32" s="1"/>
      <c r="R32" t="str">
        <f ca="1">VALUE(LEFT(R30,4))+_xlfn.XLOOKUP(VALUE(RIGHT(R30,2)),Table7[AD month No.],Table7[Add years])&amp;"."&amp;_xlfn.XLOOKUP(RIGHT(R31,LEN(R31)-5),Month[AD month],Month[BS Month])</f>
        <v>2081.Asadh</v>
      </c>
    </row>
    <row r="33" spans="1:8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  <c r="H33" s="1"/>
    </row>
    <row r="34" spans="1:8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  <c r="H34" s="1"/>
    </row>
    <row r="35" spans="1:8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  <c r="H35" s="1"/>
    </row>
    <row r="36" spans="1:8">
      <c r="A36" s="1"/>
      <c r="C36" s="1"/>
      <c r="D36" s="1"/>
      <c r="E36" s="1"/>
      <c r="F36" s="1"/>
      <c r="G36" s="1"/>
      <c r="H36" s="1"/>
    </row>
    <row r="37" spans="1:8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H37" s="1"/>
    </row>
    <row r="38" spans="1:8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H38" s="1"/>
    </row>
    <row r="39" spans="1:8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H39" s="1"/>
    </row>
    <row r="40" spans="1:8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H40" s="1"/>
    </row>
    <row r="41" spans="1:8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H41" s="1"/>
    </row>
    <row r="42" spans="1:8">
      <c r="A42" s="1"/>
      <c r="C42" s="1"/>
      <c r="D42" s="1"/>
      <c r="E42" s="1"/>
      <c r="F42" s="1"/>
      <c r="G42" s="1"/>
      <c r="H42" s="1"/>
    </row>
    <row r="43" spans="1:8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H43" s="1"/>
    </row>
    <row r="44" spans="1:8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H44" s="1"/>
    </row>
    <row r="45" spans="1:8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H45" s="1"/>
    </row>
    <row r="46" spans="1:8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H46" s="1"/>
    </row>
    <row r="47" spans="1:8">
      <c r="A47" s="1"/>
      <c r="C47" s="1"/>
      <c r="D47" s="1"/>
      <c r="E47" s="1"/>
      <c r="F47" s="1"/>
      <c r="G47" s="1"/>
      <c r="H47" s="1"/>
    </row>
    <row r="48" spans="1:8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H48" s="1"/>
    </row>
    <row r="49" spans="1:8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H49" s="1"/>
    </row>
    <row r="50" spans="1:8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H50" s="1"/>
    </row>
    <row r="51" spans="1:8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H51" s="1"/>
    </row>
    <row r="52" spans="1:8">
      <c r="A52" s="1"/>
      <c r="C52" s="1"/>
      <c r="D52" s="1"/>
      <c r="E52" s="1"/>
      <c r="F52" s="1"/>
      <c r="G52" s="1"/>
      <c r="H52" s="1"/>
    </row>
    <row r="53" spans="1:8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H53" s="1"/>
    </row>
    <row r="54" spans="1:8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H54" s="1"/>
    </row>
    <row r="55" spans="1:8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H55" s="1"/>
    </row>
    <row r="56" spans="1:8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H56" s="1"/>
    </row>
    <row r="57" spans="1:8">
      <c r="A57" s="1"/>
      <c r="C57" s="1"/>
      <c r="D57" s="1"/>
      <c r="E57" s="1"/>
      <c r="F57" s="1"/>
      <c r="G57" s="1"/>
      <c r="H57" s="1"/>
    </row>
    <row r="58" spans="1:8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  <c r="H58" s="1"/>
    </row>
    <row r="59" spans="1:8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  <c r="H59" s="1"/>
    </row>
    <row r="60" spans="1:8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  <c r="H60" s="1"/>
    </row>
    <row r="61" spans="1:8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  <c r="H61" s="1"/>
    </row>
    <row r="62" spans="1:8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  <c r="H62" s="1"/>
    </row>
    <row r="63" spans="1:8">
      <c r="A63" s="1"/>
      <c r="C63" s="1"/>
      <c r="D63" s="1"/>
      <c r="E63" s="1"/>
      <c r="F63" s="1"/>
      <c r="G63" s="1"/>
      <c r="H63" s="1"/>
    </row>
    <row r="64" spans="1:8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  <c r="H64" s="1"/>
    </row>
    <row r="65" spans="1:8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  <c r="H65" s="1"/>
    </row>
    <row r="66" spans="1:8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  <c r="H66" s="1"/>
    </row>
    <row r="67" spans="1:8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  <c r="H67" s="1"/>
    </row>
    <row r="68" spans="1:8">
      <c r="A68" s="1"/>
      <c r="C68" s="1"/>
      <c r="D68" s="1"/>
      <c r="E68" s="1"/>
      <c r="F68" s="1"/>
      <c r="G68" s="1"/>
      <c r="H68" s="1"/>
    </row>
    <row r="69" spans="1:8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  <c r="H69" s="1"/>
    </row>
    <row r="70" spans="1:8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  <c r="H70" s="1"/>
    </row>
    <row r="71" spans="1:8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  <c r="H71" s="1"/>
    </row>
    <row r="72" spans="1:8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  <c r="H72" s="1"/>
    </row>
    <row r="73" spans="1:8">
      <c r="A73" s="1"/>
      <c r="C73" s="1"/>
      <c r="D73" s="1"/>
      <c r="E73" s="1"/>
      <c r="F73" s="1"/>
      <c r="G73" s="1"/>
      <c r="H73" s="1"/>
    </row>
    <row r="74" spans="1:8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  <c r="H74" s="1"/>
    </row>
    <row r="75" spans="1:8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  <c r="H75" s="1"/>
    </row>
    <row r="76" spans="1:8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  <c r="H76" s="1"/>
    </row>
    <row r="77" spans="1:8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  <c r="H77" s="1"/>
    </row>
    <row r="78" spans="1:8">
      <c r="A78" s="1"/>
      <c r="C78" s="1"/>
      <c r="D78" s="1"/>
      <c r="E78" s="1"/>
      <c r="F78" s="1"/>
      <c r="G78" s="1"/>
      <c r="H78" s="1"/>
    </row>
    <row r="79" spans="1:8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  <c r="H79" s="1"/>
    </row>
    <row r="80" spans="1:8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  <c r="H80" s="1"/>
    </row>
    <row r="81" spans="1:8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  <c r="H81" s="1"/>
    </row>
    <row r="82" spans="1:8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  <c r="H82" s="1"/>
    </row>
    <row r="83" spans="1:8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  <c r="H83" s="1"/>
    </row>
    <row r="84" spans="1:8">
      <c r="A84" s="1"/>
      <c r="C84" s="1"/>
      <c r="D84" s="1"/>
      <c r="E84" s="1"/>
      <c r="F84" s="1"/>
      <c r="G84" s="1"/>
      <c r="H84" s="1"/>
    </row>
    <row r="85" spans="1:8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  <c r="H85" s="1"/>
    </row>
    <row r="86" spans="1:8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  <c r="H86" s="1"/>
    </row>
    <row r="87" spans="1:8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  <c r="H87" s="1"/>
    </row>
    <row r="88" spans="1:8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  <c r="H88" s="1"/>
    </row>
    <row r="89" spans="1:8">
      <c r="A89" s="1"/>
      <c r="C89" s="1"/>
      <c r="D89" s="1"/>
      <c r="E89" s="1"/>
      <c r="F89" s="1"/>
      <c r="G89" s="1"/>
      <c r="H89" s="1"/>
    </row>
    <row r="90" spans="1:8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  <c r="H90" s="1"/>
    </row>
    <row r="91" spans="1:8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  <c r="H91" s="1"/>
    </row>
    <row r="92" spans="1:8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  <c r="H92" s="1"/>
    </row>
    <row r="93" spans="1:8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  <c r="H93" s="1"/>
    </row>
    <row r="94" spans="1:8">
      <c r="A94" s="1"/>
      <c r="C94" s="1"/>
      <c r="D94" s="1"/>
      <c r="E94" s="1"/>
      <c r="F94" s="1"/>
      <c r="G94" s="1"/>
      <c r="H94" s="1"/>
    </row>
    <row r="95" spans="1:8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  <c r="H95" s="1"/>
    </row>
    <row r="96" spans="1:8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  <c r="H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  <c r="H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H98" s="1"/>
      <c r="I98" s="129" t="s">
        <v>123</v>
      </c>
      <c r="J98" s="129"/>
      <c r="K98" s="129"/>
      <c r="M98" s="129"/>
      <c r="N98" s="129"/>
      <c r="O98" s="129"/>
      <c r="P98" s="129"/>
      <c r="Q98" s="129"/>
    </row>
    <row r="99" spans="1:17">
      <c r="A99" s="1"/>
      <c r="C99" s="1"/>
      <c r="D99" s="1"/>
      <c r="E99" s="1"/>
      <c r="F99" s="1"/>
      <c r="G99" s="1"/>
      <c r="H99" s="1"/>
      <c r="L99" s="129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H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H101" s="1"/>
      <c r="I101" s="1">
        <v>498.89708734700673</v>
      </c>
      <c r="J101" s="1">
        <v>103.80737161799628</v>
      </c>
      <c r="K101" s="1">
        <v>112.19695000000003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P160" si="1">E101=K101</f>
        <v>1</v>
      </c>
      <c r="Q101" s="1" t="b">
        <f t="shared" ref="Q101:Q132" si="2">F101=L102</f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H102" s="1"/>
      <c r="I102" s="1">
        <v>499.06855291105023</v>
      </c>
      <c r="J102" s="1">
        <v>104.10543</v>
      </c>
      <c r="K102" s="1">
        <v>112.19695</v>
      </c>
      <c r="L102" s="1">
        <v>124.00294157517109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2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H103" s="1"/>
      <c r="I103" s="1">
        <v>498.81137665773389</v>
      </c>
      <c r="J103" s="1">
        <v>103.72685</v>
      </c>
      <c r="K103" s="1">
        <v>112.19695</v>
      </c>
      <c r="L103" s="1">
        <v>122.57004499999999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2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H104" s="1"/>
      <c r="I104" s="1">
        <v>498.81137665773389</v>
      </c>
      <c r="J104" s="1">
        <v>103.59052</v>
      </c>
      <c r="K104" s="1">
        <v>112.19695</v>
      </c>
      <c r="L104" s="1">
        <v>124.29369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2"/>
        <v>1</v>
      </c>
    </row>
    <row r="105" spans="1:17">
      <c r="A105" s="1"/>
      <c r="C105" s="1"/>
      <c r="D105" s="1"/>
      <c r="E105" s="1"/>
      <c r="F105" s="1"/>
      <c r="G105" s="1"/>
      <c r="H105" s="1"/>
      <c r="L105" s="1">
        <v>125.15913</v>
      </c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2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H106" s="1"/>
      <c r="I106" s="1">
        <v>502.93835782771362</v>
      </c>
      <c r="J106" s="1">
        <v>105.56151836739436</v>
      </c>
      <c r="K106" s="1">
        <v>112.74574999999994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2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H107" s="1"/>
      <c r="I107" s="1">
        <v>498.81137665773389</v>
      </c>
      <c r="J107" s="1">
        <v>104.547195</v>
      </c>
      <c r="K107" s="1">
        <v>112.74575</v>
      </c>
      <c r="L107" s="1">
        <v>122.644594022088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2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H108" s="1"/>
      <c r="I108" s="1">
        <v>500.96844064228122</v>
      </c>
      <c r="J108" s="1">
        <v>105.03371</v>
      </c>
      <c r="K108" s="1">
        <v>112.74575</v>
      </c>
      <c r="L108" s="1">
        <v>125.275566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2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H109" s="1"/>
      <c r="I109" s="1">
        <v>509.09350990196276</v>
      </c>
      <c r="J109" s="1">
        <v>107.12129</v>
      </c>
      <c r="K109" s="1">
        <v>112.74575</v>
      </c>
      <c r="L109" s="1">
        <v>122.90701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2"/>
        <v>1</v>
      </c>
    </row>
    <row r="110" spans="1:17">
      <c r="A110" s="1"/>
      <c r="C110" s="1"/>
      <c r="D110" s="1"/>
      <c r="E110" s="1"/>
      <c r="F110" s="1"/>
      <c r="G110" s="1"/>
      <c r="H110" s="1"/>
      <c r="L110" s="1">
        <v>119.81252000000001</v>
      </c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2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H111" s="1"/>
      <c r="I111" s="1">
        <v>513.66900544888472</v>
      </c>
      <c r="J111" s="1">
        <v>108.95081799538883</v>
      </c>
      <c r="K111" s="1">
        <v>113.51199999999994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2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H112" s="1"/>
      <c r="I112" s="1">
        <v>511.96033470711359</v>
      </c>
      <c r="J112" s="1">
        <v>109.37220000000001</v>
      </c>
      <c r="K112" s="1">
        <v>113.512</v>
      </c>
      <c r="L112" s="1">
        <v>119.07625612652819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2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H113" s="1"/>
      <c r="I113" s="1">
        <v>514.52547814384309</v>
      </c>
      <c r="J113" s="1">
        <v>108.20650000000001</v>
      </c>
      <c r="K113" s="1">
        <v>113.512</v>
      </c>
      <c r="L113" s="1">
        <v>118.53216999999999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2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H114" s="1"/>
      <c r="I114" s="1">
        <v>514.52547814384309</v>
      </c>
      <c r="J114" s="1">
        <v>109.27761</v>
      </c>
      <c r="K114" s="1">
        <v>113.512</v>
      </c>
      <c r="L114" s="1">
        <v>118.75336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2"/>
        <v>1</v>
      </c>
    </row>
    <row r="115" spans="1:17">
      <c r="A115" s="1"/>
      <c r="C115" s="1"/>
      <c r="D115" s="1"/>
      <c r="E115" s="1"/>
      <c r="F115" s="1"/>
      <c r="G115" s="1"/>
      <c r="H115" s="1"/>
      <c r="L115" s="1">
        <v>119.9481</v>
      </c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2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H116" s="1"/>
      <c r="I116" s="1">
        <v>517.43581782750221</v>
      </c>
      <c r="J116" s="1">
        <v>112.47845053565939</v>
      </c>
      <c r="K116" s="1">
        <v>113.68746999999991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2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H117" s="1"/>
      <c r="I117" s="1">
        <v>514.52547814384309</v>
      </c>
      <c r="J117" s="1">
        <v>111.41915</v>
      </c>
      <c r="K117" s="1">
        <v>113.68747</v>
      </c>
      <c r="L117" s="1">
        <v>122.89878280190646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2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H118" s="1"/>
      <c r="I118" s="1">
        <v>515.84706404692679</v>
      </c>
      <c r="J118" s="1">
        <v>111.89505</v>
      </c>
      <c r="K118" s="1">
        <v>113.68747</v>
      </c>
      <c r="L118" s="1">
        <v>121.428856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2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H119" s="1"/>
      <c r="I119" s="1">
        <v>521.96528063896278</v>
      </c>
      <c r="J119" s="1">
        <v>114.13984000000001</v>
      </c>
      <c r="K119" s="1">
        <v>113.68747</v>
      </c>
      <c r="L119" s="1">
        <v>122.31238999999999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2"/>
        <v>1</v>
      </c>
    </row>
    <row r="120" spans="1:17">
      <c r="A120" s="1"/>
      <c r="C120" s="1"/>
      <c r="D120" s="1"/>
      <c r="E120" s="1"/>
      <c r="F120" s="1"/>
      <c r="G120" s="1"/>
      <c r="H120" s="1"/>
      <c r="L120" s="1">
        <v>124.98284</v>
      </c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2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H121" s="1"/>
      <c r="I121" s="1">
        <v>532.05088668239353</v>
      </c>
      <c r="J121" s="1">
        <v>128.31283983932812</v>
      </c>
      <c r="K121" s="1">
        <v>122.67437395232467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2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H122" s="1"/>
      <c r="I122" s="1">
        <v>523.74690026221128</v>
      </c>
      <c r="J122" s="1">
        <v>116.2268937496017</v>
      </c>
      <c r="K122" s="1">
        <v>120.54096000000003</v>
      </c>
      <c r="L122" s="1">
        <v>133.70022794233833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2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H123" s="1"/>
      <c r="I123" s="1">
        <v>523.74690026221117</v>
      </c>
      <c r="J123" s="1">
        <v>116.11561</v>
      </c>
      <c r="K123" s="1">
        <v>120.54096</v>
      </c>
      <c r="L123" s="1">
        <v>128.62719240192527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2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H124" s="1"/>
      <c r="I124" s="1">
        <v>523.74690026221117</v>
      </c>
      <c r="J124" s="1">
        <v>116.20729</v>
      </c>
      <c r="K124" s="1">
        <v>120.54096</v>
      </c>
      <c r="L124" s="1">
        <v>127.78157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2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H125" s="1"/>
      <c r="I125" s="1">
        <v>523.74690026221117</v>
      </c>
      <c r="J125" s="1">
        <v>116.35791</v>
      </c>
      <c r="K125" s="1">
        <v>120.54096</v>
      </c>
      <c r="L125" s="1">
        <v>128.15424999999999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2"/>
        <v>1</v>
      </c>
    </row>
    <row r="126" spans="1:17">
      <c r="A126" s="1"/>
      <c r="C126" s="1"/>
      <c r="D126" s="1"/>
      <c r="E126" s="1"/>
      <c r="F126" s="1"/>
      <c r="G126" s="1"/>
      <c r="H126" s="1"/>
      <c r="L126" s="1">
        <v>129.95624000000001</v>
      </c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2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H127" s="1"/>
      <c r="I127" s="1">
        <v>526.14143353014833</v>
      </c>
      <c r="J127" s="1">
        <v>125.5948204089473</v>
      </c>
      <c r="K127" s="1">
        <v>122.78873999999995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2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H128" s="1"/>
      <c r="I128" s="1">
        <v>524.63804289344193</v>
      </c>
      <c r="J128" s="1">
        <v>125.55852</v>
      </c>
      <c r="K128" s="1">
        <v>122.78874</v>
      </c>
      <c r="L128" s="1">
        <v>131.6314048476911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2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H129" s="1"/>
      <c r="I129" s="1">
        <v>526.8947436082924</v>
      </c>
      <c r="J129" s="1">
        <v>125.35019</v>
      </c>
      <c r="K129" s="1">
        <v>122.78874</v>
      </c>
      <c r="L129" s="1">
        <v>133.64684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2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H130" s="1"/>
      <c r="I130" s="1">
        <v>526.8947436082924</v>
      </c>
      <c r="J130" s="1">
        <v>125.87631</v>
      </c>
      <c r="K130" s="1">
        <v>122.78874</v>
      </c>
      <c r="L130" s="1">
        <v>131.78209000000001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2"/>
        <v>1</v>
      </c>
    </row>
    <row r="131" spans="1:17">
      <c r="A131" s="1"/>
      <c r="C131" s="1"/>
      <c r="D131" s="1"/>
      <c r="E131" s="1"/>
      <c r="F131" s="1"/>
      <c r="G131" s="1"/>
      <c r="H131" s="1"/>
      <c r="L131" s="1">
        <v>129.49812</v>
      </c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2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H132" s="1"/>
      <c r="I132" s="1">
        <v>533.88628278127123</v>
      </c>
      <c r="J132" s="1">
        <v>132.87754179664594</v>
      </c>
      <c r="K132" s="1">
        <v>122.931854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2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H133" s="1"/>
      <c r="I133" s="1">
        <v>526.8947436082924</v>
      </c>
      <c r="J133" s="1">
        <v>127.536804</v>
      </c>
      <c r="K133" s="1">
        <v>122.931854</v>
      </c>
      <c r="L133" s="1">
        <v>134.1003472888475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ref="Q133:Q164" si="3">F133=L134</f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H134" s="1"/>
      <c r="I134" s="1">
        <v>533.10235907247784</v>
      </c>
      <c r="J134" s="1">
        <v>134.43776</v>
      </c>
      <c r="K134" s="1">
        <v>122.931854</v>
      </c>
      <c r="L134" s="1">
        <v>130.79031000000001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3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H135" s="1"/>
      <c r="I135" s="1">
        <v>541.76608888158205</v>
      </c>
      <c r="J135" s="1">
        <v>136.83524</v>
      </c>
      <c r="K135" s="1">
        <v>122.931854</v>
      </c>
      <c r="L135" s="1">
        <v>134.34395000000001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3"/>
        <v>1</v>
      </c>
    </row>
    <row r="136" spans="1:17">
      <c r="A136" s="1"/>
      <c r="C136" s="1"/>
      <c r="D136" s="1"/>
      <c r="E136" s="1"/>
      <c r="F136" s="1"/>
      <c r="G136" s="1"/>
      <c r="H136" s="1"/>
      <c r="L136" s="1">
        <v>137.24484000000001</v>
      </c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3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H137" s="1"/>
      <c r="I137" s="1">
        <v>544.67814932224121</v>
      </c>
      <c r="J137" s="1">
        <v>139.74958351802152</v>
      </c>
      <c r="K137" s="1">
        <v>124.46801999999997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3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H138" s="1"/>
      <c r="I138" s="1">
        <v>541.81853276662514</v>
      </c>
      <c r="J138" s="1">
        <v>141.30508</v>
      </c>
      <c r="K138" s="1">
        <v>124.46802</v>
      </c>
      <c r="L138" s="1">
        <v>140.73638180980547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3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H139" s="1"/>
      <c r="I139" s="1">
        <v>541.81853276662514</v>
      </c>
      <c r="J139" s="1">
        <v>140.15342999999999</v>
      </c>
      <c r="K139" s="1">
        <v>124.46802</v>
      </c>
      <c r="L139" s="1">
        <v>140.92689999999999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3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H140" s="1"/>
      <c r="I140" s="1">
        <v>550.44273964787089</v>
      </c>
      <c r="J140" s="1">
        <v>137.81296</v>
      </c>
      <c r="K140" s="1">
        <v>124.46802</v>
      </c>
      <c r="L140" s="1">
        <v>140.37593000000001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3"/>
        <v>1</v>
      </c>
    </row>
    <row r="141" spans="1:17">
      <c r="A141" s="1"/>
      <c r="C141" s="1"/>
      <c r="D141" s="1"/>
      <c r="E141" s="1"/>
      <c r="F141" s="1"/>
      <c r="G141" s="1"/>
      <c r="H141" s="1"/>
      <c r="L141" s="1">
        <v>140.90701000000001</v>
      </c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3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H142" s="1"/>
      <c r="I142" s="1">
        <v>575.95768964184083</v>
      </c>
      <c r="J142" s="1">
        <v>141.15360945960461</v>
      </c>
      <c r="K142" s="1">
        <v>131.4833738077684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3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H143" s="1"/>
      <c r="I143" s="1">
        <v>572.05388386667573</v>
      </c>
      <c r="J143" s="1">
        <v>138.69542022225045</v>
      </c>
      <c r="K143" s="1">
        <v>130.10399999999993</v>
      </c>
      <c r="L143" s="1">
        <v>145.09964416903426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3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H144" s="1"/>
      <c r="I144" s="1">
        <v>571.04259181258897</v>
      </c>
      <c r="J144" s="1">
        <v>138.59886</v>
      </c>
      <c r="K144" s="1">
        <v>130.10400000000001</v>
      </c>
      <c r="L144" s="1">
        <v>145.90905768141604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3"/>
        <v>1</v>
      </c>
    </row>
    <row r="145" spans="1:17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H145" s="1"/>
      <c r="I145" s="1">
        <v>572.5602013037668</v>
      </c>
      <c r="J145" s="1">
        <v>138.70862</v>
      </c>
      <c r="K145" s="1">
        <v>130.10400000000001</v>
      </c>
      <c r="L145" s="1">
        <v>143.85096999999999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3"/>
        <v>1</v>
      </c>
    </row>
    <row r="146" spans="1:17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H146" s="1"/>
      <c r="I146" s="1">
        <v>572.5602013037668</v>
      </c>
      <c r="J146" s="1">
        <v>138.77884</v>
      </c>
      <c r="K146" s="1">
        <v>130.10400000000001</v>
      </c>
      <c r="L146" s="1">
        <v>146.10167999999999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3"/>
        <v>1</v>
      </c>
    </row>
    <row r="147" spans="1:17">
      <c r="A147" s="1"/>
      <c r="C147" s="1"/>
      <c r="D147" s="1"/>
      <c r="E147" s="1"/>
      <c r="F147" s="1"/>
      <c r="G147" s="1"/>
      <c r="H147" s="1"/>
      <c r="L147" s="1">
        <v>147.80146999999999</v>
      </c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3"/>
        <v>1</v>
      </c>
    </row>
    <row r="148" spans="1:17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H148" s="1"/>
      <c r="I148" s="1">
        <v>572.56020130376669</v>
      </c>
      <c r="J148" s="1">
        <v>139.4392591115095</v>
      </c>
      <c r="K148" s="1">
        <v>130.25603000000004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3"/>
        <v>1</v>
      </c>
    </row>
    <row r="149" spans="1:17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H149" s="1"/>
      <c r="I149" s="1">
        <v>572.5602013037668</v>
      </c>
      <c r="J149" s="1">
        <v>140.49205000000001</v>
      </c>
      <c r="K149" s="1">
        <v>130.25603000000001</v>
      </c>
      <c r="L149" s="1">
        <v>144.34914012787996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3"/>
        <v>1</v>
      </c>
    </row>
    <row r="150" spans="1:17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H150" s="1"/>
      <c r="I150" s="1">
        <v>572.5602013037668</v>
      </c>
      <c r="J150" s="1">
        <v>138.52575999999999</v>
      </c>
      <c r="K150" s="1">
        <v>130.25603000000001</v>
      </c>
      <c r="L150" s="1">
        <v>147.03242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3"/>
        <v>1</v>
      </c>
    </row>
    <row r="151" spans="1:17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H151" s="1"/>
      <c r="I151" s="1">
        <v>572.5602013037668</v>
      </c>
      <c r="J151" s="1">
        <v>139.30699000000001</v>
      </c>
      <c r="K151" s="1">
        <v>130.25603000000001</v>
      </c>
      <c r="L151" s="1">
        <v>143.84469999999999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3"/>
        <v>1</v>
      </c>
    </row>
    <row r="152" spans="1:17">
      <c r="A152" s="1"/>
      <c r="C152" s="1"/>
      <c r="D152" s="1"/>
      <c r="E152" s="1"/>
      <c r="F152" s="1"/>
      <c r="G152" s="1"/>
      <c r="H152" s="1"/>
      <c r="L152" s="1">
        <v>142.21180000000001</v>
      </c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3"/>
        <v>1</v>
      </c>
    </row>
    <row r="153" spans="1:17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H153" s="1"/>
      <c r="I153" s="1">
        <v>573.88365922438038</v>
      </c>
      <c r="J153" s="1">
        <v>143.81366327481652</v>
      </c>
      <c r="K153" s="1">
        <v>132.56920999999997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3"/>
        <v>1</v>
      </c>
    </row>
    <row r="154" spans="1:17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H154" s="1"/>
      <c r="I154" s="1">
        <v>572.5602013037668</v>
      </c>
      <c r="J154" s="1">
        <v>142.93492000000001</v>
      </c>
      <c r="K154" s="1">
        <v>132.56921</v>
      </c>
      <c r="L154" s="1">
        <v>144.0789849363349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3"/>
        <v>1</v>
      </c>
    </row>
    <row r="155" spans="1:17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H155" s="1"/>
      <c r="I155" s="1">
        <v>572.5602013037668</v>
      </c>
      <c r="J155" s="1">
        <v>143.28242</v>
      </c>
      <c r="K155" s="1">
        <v>132.56921</v>
      </c>
      <c r="L155" s="1">
        <v>143.44319999999999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3"/>
        <v>1</v>
      </c>
    </row>
    <row r="156" spans="1:17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H156" s="1"/>
      <c r="I156" s="1">
        <v>576.53975955176679</v>
      </c>
      <c r="J156" s="1">
        <v>145.23429999999999</v>
      </c>
      <c r="K156" s="1">
        <v>132.56921</v>
      </c>
      <c r="L156" s="1">
        <v>143.87602000000001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3"/>
        <v>1</v>
      </c>
    </row>
    <row r="157" spans="1:17">
      <c r="A157" s="1"/>
      <c r="C157" s="1"/>
      <c r="D157" s="1"/>
      <c r="E157" s="1"/>
      <c r="F157" s="1"/>
      <c r="G157" s="1"/>
      <c r="H157" s="1"/>
      <c r="L157" s="1">
        <v>144.92174</v>
      </c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3"/>
        <v>1</v>
      </c>
    </row>
    <row r="158" spans="1:17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H158" s="1"/>
      <c r="I158" s="1">
        <v>585.43727347641504</v>
      </c>
      <c r="J158" s="1">
        <v>142.73175831648948</v>
      </c>
      <c r="K158" s="1">
        <v>133.03079999999994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3"/>
        <v>1</v>
      </c>
    </row>
    <row r="159" spans="1:17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H159" s="1"/>
      <c r="I159" s="1">
        <v>582.08340285916222</v>
      </c>
      <c r="J159" s="1">
        <v>145.09305000000001</v>
      </c>
      <c r="K159" s="1">
        <v>133.0308</v>
      </c>
      <c r="L159" s="1">
        <v>146.07244398304897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3"/>
        <v>1</v>
      </c>
    </row>
    <row r="160" spans="1:17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H160" s="1"/>
      <c r="I160" s="1">
        <v>587.12144851394805</v>
      </c>
      <c r="J160" s="1">
        <v>141.61176</v>
      </c>
      <c r="K160" s="1">
        <v>133.0308</v>
      </c>
      <c r="L160" s="1">
        <v>145.59526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3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H161" s="1"/>
      <c r="I161" s="1">
        <v>587.12144851394805</v>
      </c>
      <c r="J161" s="1">
        <v>141.51938000000001</v>
      </c>
      <c r="K161" s="1">
        <v>133.0308</v>
      </c>
      <c r="L161" s="1">
        <v>144.72220999999999</v>
      </c>
      <c r="N161" s="1" t="b">
        <f>indexTable[[#This Row],[Labour]]=I161</f>
        <v>1</v>
      </c>
      <c r="O161" s="1" t="b">
        <f t="shared" ref="O161:O167" si="4">D161=J161</f>
        <v>1</v>
      </c>
      <c r="P161" s="1" t="b">
        <f t="shared" ref="P161:P182" si="5">E161=K161</f>
        <v>1</v>
      </c>
      <c r="Q161" s="1" t="b">
        <f t="shared" si="3"/>
        <v>1</v>
      </c>
    </row>
    <row r="162" spans="1:17">
      <c r="A162" s="1"/>
      <c r="C162" s="1"/>
      <c r="D162" s="1"/>
      <c r="E162" s="1"/>
      <c r="F162" s="1"/>
      <c r="G162" s="1"/>
      <c r="H162" s="1"/>
      <c r="L162" s="1">
        <v>147.91848999999999</v>
      </c>
      <c r="N162" s="1" t="b">
        <f>indexTable[[#This Row],[Labour]]=I162</f>
        <v>1</v>
      </c>
      <c r="O162" s="1" t="b">
        <f t="shared" si="4"/>
        <v>1</v>
      </c>
      <c r="P162" s="1" t="b">
        <f t="shared" si="5"/>
        <v>1</v>
      </c>
      <c r="Q162" s="1" t="b">
        <f t="shared" si="3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H163" s="1"/>
      <c r="N163" s="1" t="b">
        <f>indexTable[[#This Row],[Labour]]=I163</f>
        <v>1</v>
      </c>
      <c r="O163" s="1" t="b">
        <f t="shared" si="4"/>
        <v>1</v>
      </c>
      <c r="P163" s="1" t="b">
        <f t="shared" si="5"/>
        <v>1</v>
      </c>
      <c r="Q163" s="1" t="b">
        <f t="shared" si="3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H164" s="1"/>
      <c r="I164" s="1">
        <v>592.29047897948396</v>
      </c>
      <c r="J164" s="1">
        <v>138.50342382710892</v>
      </c>
      <c r="K164" s="1">
        <v>136.17881999999997</v>
      </c>
      <c r="N164" s="1" t="b">
        <f>indexTable[[#This Row],[Labour]]=I164</f>
        <v>1</v>
      </c>
      <c r="O164" s="1" t="b">
        <f t="shared" si="4"/>
        <v>1</v>
      </c>
      <c r="P164" s="1" t="b">
        <f t="shared" si="5"/>
        <v>1</v>
      </c>
      <c r="Q164" s="1" t="b">
        <f t="shared" si="3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H165" s="1"/>
      <c r="I165" s="1">
        <v>592.29047897948431</v>
      </c>
      <c r="J165" s="1">
        <v>138.53404</v>
      </c>
      <c r="K165" s="1">
        <v>136.17882</v>
      </c>
      <c r="L165" s="1">
        <v>151.69204404637688</v>
      </c>
      <c r="N165" s="1" t="b">
        <f>indexTable[[#This Row],[Labour]]=I165</f>
        <v>1</v>
      </c>
      <c r="O165" s="1" t="b">
        <f t="shared" si="4"/>
        <v>1</v>
      </c>
      <c r="P165" s="1" t="b">
        <f t="shared" si="5"/>
        <v>1</v>
      </c>
      <c r="Q165" s="1" t="b">
        <f t="shared" ref="Q165:Q182" si="6">F165=L166</f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H166" s="1"/>
      <c r="I166" s="1">
        <v>592.29047897948431</v>
      </c>
      <c r="J166" s="1">
        <v>138.66414</v>
      </c>
      <c r="K166" s="1">
        <v>136.17882</v>
      </c>
      <c r="L166" s="1">
        <v>150.10048</v>
      </c>
      <c r="N166" s="1" t="b">
        <f>indexTable[[#This Row],[Labour]]=I166</f>
        <v>1</v>
      </c>
      <c r="O166" s="1" t="b">
        <f t="shared" si="4"/>
        <v>1</v>
      </c>
      <c r="P166" s="1" t="b">
        <f t="shared" si="5"/>
        <v>1</v>
      </c>
      <c r="Q166" s="1" t="b">
        <f t="shared" si="6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H167" s="1"/>
      <c r="I167" s="1">
        <v>592.29047897948431</v>
      </c>
      <c r="J167" s="1">
        <v>138.31232</v>
      </c>
      <c r="K167" s="1">
        <v>136.17882</v>
      </c>
      <c r="L167" s="1">
        <v>153.08664999999999</v>
      </c>
      <c r="N167" s="1" t="b">
        <f>indexTable[[#This Row],[Labour]]=I167</f>
        <v>1</v>
      </c>
      <c r="O167" s="1" t="b">
        <f t="shared" si="4"/>
        <v>1</v>
      </c>
      <c r="P167" s="1" t="b">
        <f t="shared" si="5"/>
        <v>1</v>
      </c>
      <c r="Q167" s="1" t="b">
        <f t="shared" si="6"/>
        <v>1</v>
      </c>
    </row>
    <row r="168" spans="1:17">
      <c r="A168" s="1"/>
      <c r="C168" s="1"/>
      <c r="D168" s="1"/>
      <c r="E168" s="1"/>
      <c r="F168" s="1"/>
      <c r="G168" s="1"/>
      <c r="H168" s="1"/>
      <c r="L168" s="1">
        <v>151.90393</v>
      </c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5"/>
        <v>1</v>
      </c>
      <c r="Q168" s="1" t="b">
        <f t="shared" si="6"/>
        <v>1</v>
      </c>
    </row>
    <row r="169" spans="1:17">
      <c r="A169" s="1"/>
      <c r="B169" t="s">
        <v>15</v>
      </c>
      <c r="C169" s="1">
        <v>592.29047897948396</v>
      </c>
      <c r="D169" s="1">
        <v>138.14314267680987</v>
      </c>
      <c r="E169" s="1">
        <v>136.22428999999994</v>
      </c>
      <c r="F169" s="1">
        <v>148.23545912055644</v>
      </c>
      <c r="G169" s="1"/>
      <c r="H169" s="1"/>
      <c r="I169" s="1">
        <v>592.29047897948396</v>
      </c>
      <c r="J169" s="1">
        <v>138.14314267680987</v>
      </c>
      <c r="K169" s="1">
        <v>136.22428999999994</v>
      </c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ref="P169:P176" si="7">E169=K169</f>
        <v>1</v>
      </c>
      <c r="Q169" s="1" t="b">
        <f t="shared" si="6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/>
      <c r="H170" s="1"/>
      <c r="I170" s="1">
        <v>592.29047897948431</v>
      </c>
      <c r="J170" s="1">
        <v>139.01846</v>
      </c>
      <c r="K170" s="1">
        <v>136.22429</v>
      </c>
      <c r="L170" s="1">
        <v>148.23545912055644</v>
      </c>
      <c r="N170" s="1" t="b">
        <f>indexTable[[#This Row],[Labour]]=I170</f>
        <v>1</v>
      </c>
      <c r="O170" s="1" t="b">
        <f>indexTable[[#This Row],[Material]]=J170</f>
        <v>1</v>
      </c>
      <c r="P170" s="1" t="b">
        <f t="shared" si="7"/>
        <v>1</v>
      </c>
      <c r="Q170" s="1" t="b">
        <f t="shared" si="6"/>
        <v>1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/>
      <c r="H171" s="1"/>
      <c r="I171" s="1">
        <v>592.29047897948431</v>
      </c>
      <c r="J171" s="1">
        <v>137.61363</v>
      </c>
      <c r="K171" s="1">
        <v>136.22429</v>
      </c>
      <c r="L171" s="1">
        <v>150.10722000000001</v>
      </c>
      <c r="N171" s="1" t="b">
        <f>indexTable[[#This Row],[Labour]]=I171</f>
        <v>1</v>
      </c>
      <c r="O171" s="1" t="b">
        <f>indexTable[[#This Row],[Material]]=J171</f>
        <v>1</v>
      </c>
      <c r="P171" s="1" t="b">
        <f t="shared" si="7"/>
        <v>1</v>
      </c>
      <c r="Q171" s="1" t="b">
        <f t="shared" si="6"/>
        <v>1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/>
      <c r="H172" s="1"/>
      <c r="I172" s="1">
        <v>592.29047897948431</v>
      </c>
      <c r="J172" s="1">
        <v>137.80153999999999</v>
      </c>
      <c r="K172" s="1">
        <v>136.22429</v>
      </c>
      <c r="L172" s="1">
        <v>147.62075999999999</v>
      </c>
      <c r="N172" s="1" t="b">
        <f>indexTable[[#This Row],[Labour]]=I172</f>
        <v>1</v>
      </c>
      <c r="O172" s="1" t="b">
        <f>indexTable[[#This Row],[Material]]=J172</f>
        <v>1</v>
      </c>
      <c r="P172" s="1" t="b">
        <f t="shared" si="7"/>
        <v>1</v>
      </c>
      <c r="Q172" s="1" t="b">
        <f t="shared" si="6"/>
        <v>1</v>
      </c>
    </row>
    <row r="173" spans="1:17">
      <c r="A173" s="1"/>
      <c r="C173" s="1"/>
      <c r="D173" s="1"/>
      <c r="E173" s="1"/>
      <c r="F173" s="1"/>
      <c r="G173" s="1"/>
      <c r="H173" s="1"/>
      <c r="L173" s="1">
        <v>146.9966</v>
      </c>
      <c r="N173" s="1" t="b">
        <f>indexTable[[#This Row],[Labour]]=I173</f>
        <v>1</v>
      </c>
      <c r="O173" s="1" t="b">
        <f>indexTable[[#This Row],[Material]]=J173</f>
        <v>1</v>
      </c>
      <c r="P173" s="1" t="b">
        <f t="shared" si="7"/>
        <v>1</v>
      </c>
      <c r="Q173" s="1" t="b">
        <f t="shared" si="6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H174" s="1"/>
      <c r="N174" s="1" t="b">
        <f>indexTable[[#This Row],[Labour]]=I174</f>
        <v>1</v>
      </c>
      <c r="O174" s="1" t="b">
        <f>indexTable[[#This Row],[Material]]=J174</f>
        <v>1</v>
      </c>
      <c r="P174" s="1" t="b">
        <f t="shared" si="7"/>
        <v>1</v>
      </c>
      <c r="Q174" s="1" t="b">
        <f t="shared" si="6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H175" s="1"/>
      <c r="N175" s="1" t="b">
        <f>indexTable[[#This Row],[Labour]]=I175</f>
        <v>0</v>
      </c>
      <c r="O175" s="1" t="b">
        <f>indexTable[[#This Row],[Material]]=J175</f>
        <v>0</v>
      </c>
      <c r="P175" s="1" t="b">
        <f t="shared" si="7"/>
        <v>0</v>
      </c>
      <c r="Q175" s="1" t="b">
        <f t="shared" si="6"/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93</v>
      </c>
      <c r="H176" s="1"/>
      <c r="N176" s="1" t="b">
        <f>indexTable[[#This Row],[Labour]]=I176</f>
        <v>0</v>
      </c>
      <c r="O176" s="1" t="b">
        <f>indexTable[[#This Row],[Material]]=J176</f>
        <v>0</v>
      </c>
      <c r="P176" s="1" t="b">
        <f t="shared" si="7"/>
        <v>0</v>
      </c>
      <c r="Q176" s="1" t="b">
        <f t="shared" si="6"/>
        <v>0</v>
      </c>
    </row>
    <row r="177" spans="1:17">
      <c r="A177" s="1">
        <v>2024.04</v>
      </c>
      <c r="B177" t="s">
        <v>22</v>
      </c>
      <c r="C177" s="1">
        <v>592.29047897948431</v>
      </c>
      <c r="D177" s="1">
        <v>134.77957000000001</v>
      </c>
      <c r="E177" s="1">
        <v>136.46172000000001</v>
      </c>
      <c r="F177" s="1">
        <v>152.07703000000001</v>
      </c>
      <c r="G177" s="1" t="s">
        <v>93</v>
      </c>
      <c r="H177" s="1"/>
      <c r="N177" s="1" t="b">
        <f>indexTable[[#This Row],[Labour]]=I176</f>
        <v>0</v>
      </c>
      <c r="O177" s="1" t="b">
        <f t="shared" ref="O177:O182" si="8">D177=J177</f>
        <v>0</v>
      </c>
      <c r="P177" s="1" t="b">
        <f t="shared" si="5"/>
        <v>0</v>
      </c>
      <c r="Q177" s="1" t="b">
        <f t="shared" si="6"/>
        <v>0</v>
      </c>
    </row>
    <row r="178" spans="1:17">
      <c r="A178" s="1"/>
      <c r="C178" s="1"/>
      <c r="D178" s="1"/>
      <c r="E178" s="1"/>
      <c r="F178" s="1"/>
      <c r="G178" s="1"/>
      <c r="H178" s="1"/>
      <c r="N178" s="1" t="b">
        <f>indexTable[[#This Row],[Labour]]=I177</f>
        <v>1</v>
      </c>
      <c r="O178" s="1" t="b">
        <f t="shared" si="8"/>
        <v>1</v>
      </c>
      <c r="P178" s="1" t="b">
        <f t="shared" si="5"/>
        <v>1</v>
      </c>
      <c r="Q178" s="1" t="b">
        <f t="shared" si="6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H179" s="1"/>
      <c r="N179" s="1" t="b">
        <f>indexTable[[#This Row],[Labour]]=I178</f>
        <v>1</v>
      </c>
      <c r="O179" s="1" t="b">
        <f t="shared" si="8"/>
        <v>1</v>
      </c>
      <c r="P179" s="1" t="b">
        <f t="shared" si="5"/>
        <v>1</v>
      </c>
      <c r="Q179" s="1" t="b">
        <f t="shared" si="6"/>
        <v>1</v>
      </c>
    </row>
    <row r="180" spans="1:17">
      <c r="A180" s="1">
        <v>2024.05</v>
      </c>
      <c r="B180" t="s">
        <v>24</v>
      </c>
      <c r="C180" s="1">
        <v>592.82445308174033</v>
      </c>
      <c r="D180" s="1">
        <v>137.04580000000001</v>
      </c>
      <c r="E180" s="1">
        <v>136.71912</v>
      </c>
      <c r="F180" s="1">
        <v>153.86165</v>
      </c>
      <c r="G180" s="1" t="s">
        <v>93</v>
      </c>
      <c r="H180" s="1"/>
      <c r="N180" s="1" t="b">
        <f>indexTable[[#This Row],[Labour]]=I179</f>
        <v>0</v>
      </c>
      <c r="O180" s="1" t="b">
        <f t="shared" si="8"/>
        <v>0</v>
      </c>
      <c r="P180" s="1" t="b">
        <f t="shared" si="5"/>
        <v>0</v>
      </c>
      <c r="Q180" s="1" t="b">
        <f t="shared" si="6"/>
        <v>0</v>
      </c>
    </row>
    <row r="181" spans="1:17">
      <c r="A181" s="1">
        <v>2024.06</v>
      </c>
      <c r="B181" t="s">
        <v>25</v>
      </c>
      <c r="C181" s="1">
        <v>592.82445308174033</v>
      </c>
      <c r="D181" s="1">
        <v>138.60736</v>
      </c>
      <c r="E181" s="1">
        <v>136.71912</v>
      </c>
      <c r="F181" s="1">
        <v>152.65</v>
      </c>
      <c r="G181" s="1" t="s">
        <v>93</v>
      </c>
      <c r="H181" s="1"/>
      <c r="N181" s="1" t="b">
        <f>indexTable[[#This Row],[Labour]]=I180</f>
        <v>0</v>
      </c>
      <c r="O181" s="1" t="b">
        <f t="shared" si="8"/>
        <v>0</v>
      </c>
      <c r="P181" s="1" t="b">
        <f t="shared" si="5"/>
        <v>0</v>
      </c>
      <c r="Q181" s="1" t="b">
        <f t="shared" si="6"/>
        <v>0</v>
      </c>
    </row>
    <row r="182" spans="1:17">
      <c r="A182" s="1">
        <v>2024.07</v>
      </c>
      <c r="B182" t="s">
        <v>26</v>
      </c>
      <c r="C182" s="1">
        <v>592.82445308174033</v>
      </c>
      <c r="D182" s="1">
        <v>138.07658000000001</v>
      </c>
      <c r="E182" s="1">
        <v>136.71912</v>
      </c>
      <c r="F182" s="1">
        <v>154.43961999999999</v>
      </c>
      <c r="G182" s="1" t="s">
        <v>93</v>
      </c>
      <c r="H182" s="1"/>
      <c r="N182" s="1" t="b">
        <f>indexTable[[#This Row],[Labour]]=I181</f>
        <v>0</v>
      </c>
      <c r="O182" s="1" t="b">
        <f t="shared" si="8"/>
        <v>0</v>
      </c>
      <c r="P182" s="1" t="b">
        <f t="shared" si="5"/>
        <v>0</v>
      </c>
      <c r="Q182" s="1" t="b">
        <f t="shared" si="6"/>
        <v>0</v>
      </c>
    </row>
  </sheetData>
  <conditionalFormatting sqref="A2:F179 A182:F182 A180:B181 D180:F181">
    <cfRule type="expression" dxfId="59" priority="25">
      <formula>RIGHT($B2,3)="Qtr"</formula>
    </cfRule>
    <cfRule type="expression" dxfId="58" priority="26">
      <formula>OR(LEFT($B2,1)="2", LEFT($B2,1)="1")</formula>
    </cfRule>
  </conditionalFormatting>
  <conditionalFormatting sqref="A121:F121">
    <cfRule type="expression" dxfId="57" priority="23">
      <formula>RIGHT($B121,3)="Qtr"</formula>
    </cfRule>
    <cfRule type="expression" dxfId="56" priority="24">
      <formula>OR(LEFT($B121,1)="2", LEFT($B121,1)="1")</formula>
    </cfRule>
  </conditionalFormatting>
  <conditionalFormatting sqref="A142:F142">
    <cfRule type="expression" dxfId="55" priority="19">
      <formula>RIGHT($B142,3)="Qtr"</formula>
    </cfRule>
    <cfRule type="expression" dxfId="54" priority="20">
      <formula>OR(LEFT($B142,1)="2", LEFT($B142,1)="1")</formula>
    </cfRule>
  </conditionalFormatting>
  <conditionalFormatting sqref="A154:F154">
    <cfRule type="expression" dxfId="53" priority="17">
      <formula>RIGHT($B154,3)="Qtr"</formula>
    </cfRule>
    <cfRule type="expression" dxfId="52" priority="18">
      <formula>OR(LEFT($B154,1)="2", LEFT($B154,1)="1")</formula>
    </cfRule>
  </conditionalFormatting>
  <conditionalFormatting sqref="N1:Q1 N15:Q97 N2:R14 N99:Q1048576">
    <cfRule type="expression" dxfId="51" priority="16">
      <formula>AND(N1=FALSE,N1&lt;&gt;"",$G1&lt;&gt;"provisional")</formula>
    </cfRule>
  </conditionalFormatting>
  <conditionalFormatting sqref="N1:Q1 N15:Q1048576 N2:R14">
    <cfRule type="expression" dxfId="50" priority="15">
      <formula>N1=TRUE</formula>
    </cfRule>
  </conditionalFormatting>
  <conditionalFormatting sqref="F142">
    <cfRule type="expression" dxfId="49" priority="13">
      <formula>RIGHT($B142,3)="Qtr"</formula>
    </cfRule>
    <cfRule type="expression" dxfId="48" priority="14">
      <formula>OR(LEFT($B142,1)="2", LEFT($B142,1)="1")</formula>
    </cfRule>
  </conditionalFormatting>
  <conditionalFormatting sqref="F100">
    <cfRule type="expression" dxfId="47" priority="11">
      <formula>RIGHT($B100,3)="Qtr"</formula>
    </cfRule>
    <cfRule type="expression" dxfId="46" priority="12">
      <formula>OR(LEFT($B100,1)="2", LEFT($B100,1)="1")</formula>
    </cfRule>
  </conditionalFormatting>
  <conditionalFormatting sqref="A162:F164">
    <cfRule type="expression" dxfId="45" priority="9">
      <formula>RIGHT($B162,3)="Qtr"</formula>
    </cfRule>
    <cfRule type="expression" dxfId="44" priority="10">
      <formula>OR(LEFT($B162,1)="2", LEFT($B162,1)="1")</formula>
    </cfRule>
  </conditionalFormatting>
  <conditionalFormatting sqref="A163:F163">
    <cfRule type="expression" dxfId="43" priority="7">
      <formula>RIGHT($B163,3)="Qtr"</formula>
    </cfRule>
    <cfRule type="expression" dxfId="42" priority="8">
      <formula>OR(LEFT($B163,1)="2", LEFT($B163,1)="1")</formula>
    </cfRule>
  </conditionalFormatting>
  <conditionalFormatting sqref="F163">
    <cfRule type="expression" dxfId="41" priority="5">
      <formula>RIGHT($B163,3)="Qtr"</formula>
    </cfRule>
    <cfRule type="expression" dxfId="40" priority="6">
      <formula>OR(LEFT($B163,1)="2", LEFT($B163,1)="1")</formula>
    </cfRule>
  </conditionalFormatting>
  <conditionalFormatting sqref="A165:B182">
    <cfRule type="expression" dxfId="39" priority="3">
      <formula>RIGHT($B165,3)="Qtr"</formula>
    </cfRule>
    <cfRule type="expression" dxfId="38" priority="4">
      <formula>OR(LEFT($B165,1)="2", LEFT($B165,1)="1")</formula>
    </cfRule>
  </conditionalFormatting>
  <conditionalFormatting sqref="A175:B175">
    <cfRule type="expression" dxfId="37" priority="1">
      <formula>RIGHT($B175,3)="Qtr"</formula>
    </cfRule>
    <cfRule type="expression" dxfId="36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For IPC</vt:lpstr>
      <vt:lpstr>pAdjAvg</vt:lpstr>
      <vt:lpstr>For Project</vt:lpstr>
      <vt:lpstr>Indices</vt:lpstr>
      <vt:lpstr>'For IPC'!a</vt:lpstr>
      <vt:lpstr>A</vt:lpstr>
      <vt:lpstr>amount</vt:lpstr>
      <vt:lpstr>'For IPC'!b</vt:lpstr>
      <vt:lpstr>b</vt:lpstr>
      <vt:lpstr>'For IPC'!c_</vt:lpstr>
      <vt:lpstr>c_</vt:lpstr>
      <vt:lpstr>completionDate</vt:lpstr>
      <vt:lpstr>'For IPC'!d</vt:lpstr>
      <vt:lpstr>d</vt:lpstr>
      <vt:lpstr>dates</vt:lpstr>
      <vt:lpstr>dateType</vt:lpstr>
      <vt:lpstr>dateType1</vt:lpstr>
      <vt:lpstr>Eo</vt:lpstr>
      <vt:lpstr>intendedCompletionDate</vt:lpstr>
      <vt:lpstr>LatestAD</vt:lpstr>
      <vt:lpstr>LatestADSN</vt:lpstr>
      <vt:lpstr>LatestBS</vt:lpstr>
      <vt:lpstr>'For IPC'!lo</vt:lpstr>
      <vt:lpstr>Lo</vt:lpstr>
      <vt:lpstr>'For IPC'!mo</vt:lpstr>
      <vt:lpstr>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2024-09-12T13:05:02Z</cp:lastPrinted>
  <dcterms:created xsi:type="dcterms:W3CDTF">2021-11-26T02:59:12Z</dcterms:created>
  <dcterms:modified xsi:type="dcterms:W3CDTF">2024-09-12T13:05:12Z</dcterms:modified>
</cp:coreProperties>
</file>