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1E209E06-BD27-4974-AD15-9F4FD91B8B41}" xr6:coauthVersionLast="47" xr6:coauthVersionMax="47" xr10:uidLastSave="{00000000-0000-0000-0000-000000000000}"/>
  <workbookProtection workbookAlgorithmName="SHA-512" workbookHashValue="TLqIz/ZT73/Dxu/BwKwHP4srFwXMWmQ3U6KFpmwqsZi8cTK/Kn6kytYt9vseDo3olvNn4/cdeJfVF3cwEyHw2A==" workbookSaltValue="7TG7jOoiN8/J6P2Z912xSg==" workbookSpinCount="100000" lockStructure="1"/>
  <bookViews>
    <workbookView xWindow="-120" yWindow="-120" windowWidth="20730" windowHeight="11160" xr2:uid="{00000000-000D-0000-FFFF-FFFF00000000}"/>
  </bookViews>
  <sheets>
    <sheet name="IPC" sheetId="5" r:id="rId1"/>
    <sheet name="Project" sheetId="10" r:id="rId2"/>
    <sheet name="Indices" sheetId="2" state="hidden" r:id="rId3"/>
  </sheets>
  <functionGroups builtInGroupCount="19"/>
  <definedNames>
    <definedName name="a" localSheetId="0">IPC!$A$15</definedName>
    <definedName name="amount">projectTable[Amount Paid on
Completion (w/o VAT)]</definedName>
    <definedName name="b" localSheetId="0">IPC!$B$15</definedName>
    <definedName name="c_" localSheetId="0">IPC!$C$15</definedName>
    <definedName name="completionDate">projectTable[Actual Date
of Completion]</definedName>
    <definedName name="d" localSheetId="0">IPC!$D$15</definedName>
    <definedName name="dates">Table243[AD Date]</definedName>
    <definedName name="dateType">IPC!$Y$1</definedName>
    <definedName name="dateType1">Project!$Z$3</definedName>
    <definedName name="intendedCompletionDate">IPC!$H$10</definedName>
    <definedName name="lo" localSheetId="0">IPC!$C$10</definedName>
    <definedName name="mo" localSheetId="0">IPC!$D$10</definedName>
    <definedName name="no" localSheetId="0">IPC!$E$10</definedName>
    <definedName name="originalIndex">projectTable[National Wholesale
Price Index (overall)]</definedName>
    <definedName name="presentDate">Project!$B$3</definedName>
    <definedName name="presentIndex">Project!$B$5</definedName>
    <definedName name="_xlnm.Print_Area" localSheetId="0">IPC!$A$1:$N$28</definedName>
    <definedName name="VAT" localSheetId="0">IPC!$M$22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0" l="1"/>
  <c r="G11" i="5" a="1"/>
  <c r="I10" i="5" a="1"/>
  <c r="A11" i="5" a="1"/>
  <c r="C9" i="10" a="1"/>
  <c r="I18" i="5" a="1"/>
  <c r="D10" i="5"/>
  <c r="D9" i="10" a="1"/>
  <c r="I18" i="5" l="1"/>
  <c r="I10" i="5"/>
  <c r="D9" i="10"/>
  <c r="C9" i="10"/>
  <c r="A11" i="5"/>
  <c r="G11" i="5"/>
  <c r="J10" i="5" a="1"/>
  <c r="J10" i="5" l="1"/>
  <c r="G21" i="5"/>
  <c r="F21" i="5"/>
  <c r="M10" i="5" a="1"/>
  <c r="N10" i="5" a="1"/>
  <c r="L10" i="5" a="1"/>
  <c r="M10" i="5" l="1"/>
  <c r="L10" i="5"/>
  <c r="N10" i="5"/>
  <c r="H18" i="5"/>
  <c r="H19" i="5" l="1"/>
  <c r="H20" i="5"/>
  <c r="C20" i="5" a="1"/>
  <c r="C20" i="5" l="1"/>
  <c r="I20" i="5" a="1"/>
  <c r="D20" i="5" a="1"/>
  <c r="K20" i="5" a="1"/>
  <c r="B10" i="5" a="1"/>
  <c r="J20" i="5" a="1"/>
  <c r="E20" i="5" a="1"/>
  <c r="D8" i="10" a="1"/>
  <c r="B3" i="10"/>
  <c r="D20" i="5" l="1"/>
  <c r="K20" i="5"/>
  <c r="J20" i="5"/>
  <c r="I20" i="5"/>
  <c r="E20" i="5"/>
  <c r="B10" i="5"/>
  <c r="D8" i="10"/>
  <c r="B11" i="5" a="1"/>
  <c r="C10" i="5"/>
  <c r="B12" i="5" a="1"/>
  <c r="C3" i="10" a="1"/>
  <c r="B12" i="5" l="1"/>
  <c r="B11" i="5"/>
  <c r="C3" i="10"/>
  <c r="C18" i="5" a="1"/>
  <c r="C19" i="5" a="1"/>
  <c r="E10" i="5"/>
  <c r="L20" i="5" l="1"/>
  <c r="M20" i="5" s="1"/>
  <c r="C18" i="5"/>
  <c r="C19" i="5"/>
  <c r="E15" i="5"/>
  <c r="E8" i="10"/>
  <c r="C8" i="10" a="1"/>
  <c r="I19" i="5" a="1"/>
  <c r="D18" i="5" a="1"/>
  <c r="J18" i="5" a="1"/>
  <c r="K19" i="5" a="1"/>
  <c r="D19" i="5" a="1"/>
  <c r="J19" i="5" a="1"/>
  <c r="K18" i="5" a="1"/>
  <c r="E19" i="5" a="1"/>
  <c r="E18" i="5" a="1"/>
  <c r="B5" i="10"/>
  <c r="B4" i="10" a="1"/>
  <c r="D19" i="5" l="1"/>
  <c r="D18" i="5"/>
  <c r="G8" i="10"/>
  <c r="H8" i="10" s="1"/>
  <c r="G9" i="10"/>
  <c r="H9" i="10" s="1"/>
  <c r="K19" i="5"/>
  <c r="J19" i="5"/>
  <c r="I19" i="5"/>
  <c r="K18" i="5"/>
  <c r="J18" i="5"/>
  <c r="B4" i="10"/>
  <c r="E19" i="5"/>
  <c r="E18" i="5"/>
  <c r="C8" i="10"/>
  <c r="H21" i="5"/>
  <c r="L19" i="5" l="1"/>
  <c r="M19" i="5" s="1"/>
  <c r="L18" i="5"/>
  <c r="M18" i="5" s="1"/>
  <c r="M21" i="5" l="1"/>
  <c r="M22" i="5" s="1"/>
  <c r="M23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<sst xmlns="http://schemas.openxmlformats.org/spreadsheetml/2006/main" count="207" uniqueCount="111">
  <si>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</si>
  <si>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</si>
  <si>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</si>
  <si>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</si>
  <si>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</si>
  <si>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</si>
  <si>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</si>
  <si>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</si>
  <si>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</si>
  <si>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</si>
  <si>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</si>
  <si>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</si>
  <si>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</si>
  <si>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</si>
  <si>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</si>
  <si>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</si>
  <si>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</si>
  <si>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</si>
  <si>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</si>
  <si>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</si>
  <si>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</si>
  <si>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</si>
  <si>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</si>
  <si>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</si>
  <si>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</si>
  <si>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</si>
  <si>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</si>
  <si>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</si>
  <si>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</si>
  <si>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</si>
  <si>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</si>
  <si>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</si>
  <si>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</si>
  <si>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</si>
  <si>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</si>
  <si>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</si>
  <si>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</si>
  <si>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</si>
  <si>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</si>
  <si>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</si>
  <si>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</si>
  <si>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</si>
  <si>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</si>
  <si>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</si>
  <si>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</si>
  <si>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t>Price Adjustment Coefficients</t>
  </si>
  <si>
    <t>TOTAL</t>
  </si>
  <si>
    <t>Net Price Adj.
Amount</t>
  </si>
  <si>
    <t>2021/22</t>
  </si>
  <si>
    <t>IPC Submisstion
Date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</si>
  <si>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</si>
  <si>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</si>
  <si>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Labour
(b)</t>
  </si>
  <si>
    <t>Material
(c)</t>
  </si>
  <si>
    <t>Equipment
(d)</t>
  </si>
  <si>
    <t>IPC Amount</t>
  </si>
  <si>
    <t>IPC Amount
for Price Adj.</t>
  </si>
  <si>
    <t>13% VAT</t>
  </si>
  <si>
    <t>GRAND TOTAL</t>
  </si>
  <si>
    <t>Overall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</si>
  <si>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</si>
  <si>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</si>
  <si>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</si>
  <si>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</si>
  <si>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</si>
  <si>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</si>
  <si>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</si>
  <si>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2075-1-1</t>
  </si>
  <si>
    <t>p1</t>
  </si>
  <si>
    <t>Contractor:</t>
  </si>
  <si>
    <t>PRICE ADJUSTMENT for IPCs</t>
  </si>
  <si>
    <t>AD Date</t>
  </si>
  <si>
    <t>- NRB: National Salary and Wage Rate Index</t>
  </si>
  <si>
    <t>- NRB: National Wholesale Price Index</t>
  </si>
  <si>
    <t>Sources for indices: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</si>
  <si>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</si>
  <si>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30 days prior to IPC Submission Date</t>
  </si>
  <si>
    <t>Month</t>
  </si>
  <si>
    <t>Latest available data for</t>
  </si>
  <si>
    <t>Remarks</t>
  </si>
  <si>
    <t>2022/23</t>
  </si>
  <si>
    <t>Last Date for
Bid Submisstion</t>
  </si>
  <si>
    <t>30 days prior to Last Date for Bid Submission</t>
  </si>
  <si>
    <t>Base Indices (for 30 days prior to Last Date for Bid Submission)</t>
  </si>
  <si>
    <t>Intended Completion Date</t>
  </si>
  <si>
    <t>Agreement Date</t>
  </si>
  <si>
    <t>Indices freeze at</t>
  </si>
  <si>
    <t>2076-1-1</t>
  </si>
  <si>
    <t>2076-3-1</t>
  </si>
  <si>
    <t>2076-5-1</t>
  </si>
  <si>
    <t>2076-7-1</t>
  </si>
  <si>
    <t>2076-9-1</t>
  </si>
  <si>
    <t>Deduction for PS / Other</t>
  </si>
  <si>
    <t>Multplying Factor</t>
  </si>
  <si>
    <t>p2</t>
  </si>
  <si>
    <t>2076-9-9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</si>
  <si>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</si>
  <si>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</si>
  <si>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E</t>
    </r>
    <r>
      <rPr>
        <vertAlign val="subscript"/>
        <sz val="11"/>
        <color theme="1"/>
        <rFont val="Calibri"/>
        <family val="2"/>
        <scheme val="minor"/>
      </rPr>
      <t>o</t>
    </r>
  </si>
  <si>
    <r>
      <t>L</t>
    </r>
    <r>
      <rPr>
        <vertAlign val="subscript"/>
        <sz val="11"/>
        <color theme="1"/>
        <rFont val="Calibri"/>
        <family val="2"/>
        <scheme val="minor"/>
      </rPr>
      <t>n</t>
    </r>
  </si>
  <si>
    <r>
      <t>M</t>
    </r>
    <r>
      <rPr>
        <vertAlign val="subscript"/>
        <sz val="11"/>
        <color theme="1"/>
        <rFont val="Calibri"/>
        <family val="2"/>
        <scheme val="minor"/>
      </rPr>
      <t>n</t>
    </r>
  </si>
  <si>
    <r>
      <t>E</t>
    </r>
    <r>
      <rPr>
        <vertAlign val="subscript"/>
        <sz val="11"/>
        <color theme="1"/>
        <rFont val="Calibri"/>
        <family val="2"/>
        <scheme val="minor"/>
      </rPr>
      <t>n</t>
    </r>
  </si>
  <si>
    <t>*Price Adj.
factor</t>
  </si>
  <si>
    <t>Non-Adjustable
(A)</t>
  </si>
  <si>
    <t>L</t>
  </si>
  <si>
    <t>M</t>
  </si>
  <si>
    <t>E</t>
  </si>
  <si>
    <t>2078-2-31</t>
  </si>
  <si>
    <t>Employer:</t>
  </si>
  <si>
    <t>Project's Present Value</t>
  </si>
  <si>
    <t>data upto 2079.Chaitra (2023.Mar/Apr)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</si>
</sst>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_);[Red]\(&quot;$&quot;#,##0.00\)"/>
    <numFmt numFmtId="165" formatCode="&quot;₹&quot;\ #,##0.00;[Red]&quot;₹&quot;\ \-#,##0.00"/>
    <numFmt numFmtId="166" formatCode="_ * #,##0_ ;_ * \-#,##0_ ;_ * &quot;-&quot;_ ;_ @_ "/>
    <numFmt numFmtId="167" formatCode="_ * #,##0.00_ ;_ * \-#,##0.00_ ;_ * &quot;-&quot;??_ ;_ @_ "/>
    <numFmt numFmtId="168" formatCode="0.000"/>
    <numFmt numFmtId="169" formatCode="@\ &quot;(AD)&quot;"/>
    <numFmt numFmtId="170" formatCode="@\ &quot;BS&quot;"/>
    <numFmt numFmtId="171" formatCode="0.0000"/>
    <numFmt numFmtId="172" formatCode="_ * #,##0.00_ ;_ * \(#,##0.00\)_ ;_ * &quot;-&quot;??_ ;_ @_ "/>
  </numFmts>
  <fonts count="39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u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8"/>
      <name val="Times New Roman"/>
      <family val="1"/>
    </font>
    <font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28"/>
      <color theme="1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i/>
      <sz val="14"/>
      <color theme="1" tint="0.34998626667073579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sz val="10"/>
      <name val="Arial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4"/>
      <name val="Calibri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</borders>
  <cellStyleXfs count="74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166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167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167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2" fillId="0" borderId="0"/>
    <xf numFmtId="0" fontId="3" fillId="0" borderId="0"/>
    <xf numFmtId="0" fontId="6" fillId="0" borderId="0"/>
    <xf numFmtId="0" fontId="13" fillId="0" borderId="0"/>
    <xf numFmtId="0" fontId="3" fillId="0" borderId="0"/>
    <xf numFmtId="0" fontId="6" fillId="0" borderId="0"/>
    <xf numFmtId="167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167" fontId="6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" fillId="0" borderId="0"/>
    <xf numFmtId="0" fontId="6" fillId="0" borderId="0"/>
    <xf numFmtId="0" fontId="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167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7" fontId="3" fillId="0" borderId="0" applyFont="0" applyFill="0" applyBorder="0" applyAlignment="0" applyProtection="0"/>
    <xf numFmtId="0" fontId="3" fillId="0" borderId="0"/>
    <xf numFmtId="167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0" fontId="3" fillId="0" borderId="0"/>
    <xf numFmtId="0" fontId="3" fillId="0" borderId="0"/>
    <xf numFmtId="167" fontId="3" fillId="0" borderId="0" applyFont="0" applyFill="0" applyBorder="0" applyAlignment="0" applyProtection="0"/>
    <xf numFmtId="0" fontId="13" fillId="0" borderId="0"/>
    <xf numFmtId="0" fontId="3" fillId="0" borderId="0"/>
    <xf numFmtId="0" fontId="13" fillId="0" borderId="0"/>
    <xf numFmtId="0" fontId="13" fillId="0" borderId="0"/>
    <xf numFmtId="167" fontId="13" fillId="0" borderId="0" applyFont="0" applyFill="0" applyBorder="0" applyAlignment="0" applyProtection="0"/>
    <xf numFmtId="0" fontId="3" fillId="0" borderId="0"/>
    <xf numFmtId="0" fontId="15" fillId="0" borderId="0" applyNumberFormat="0" applyFill="0" applyBorder="0" applyAlignment="0" applyProtection="0"/>
    <xf numFmtId="0" fontId="18" fillId="0" borderId="0">
      <alignment vertical="center"/>
    </xf>
    <xf numFmtId="164" fontId="2" fillId="0" borderId="0" applyFont="0" applyFill="0" applyBorder="0" applyAlignment="0" applyProtection="0"/>
    <xf numFmtId="0" fontId="3" fillId="0" borderId="0"/>
    <xf numFmtId="0" fontId="31" fillId="0" borderId="0" applyNumberFormat="0" applyFill="0" applyBorder="0" applyAlignment="0" applyProtection="0">
      <alignment vertical="top"/>
      <protection locked="0"/>
    </xf>
    <xf numFmtId="0" fontId="33" fillId="0" borderId="0"/>
    <xf numFmtId="0" fontId="3" fillId="0" borderId="0"/>
  </cellStyleXfs>
  <cellXfs count="111">
    <xf numFmtId="0" fontId="0" fillId="0" borderId="0" xfId="0"/>
    <xf numFmtId="0" fontId="0" fillId="0" borderId="0" xfId="0" applyFont="1"/>
    <xf numFmtId="0" fontId="8" fillId="0" borderId="0" xfId="0" applyFont="1" applyAlignment="1">
      <alignment horizontal="center" vertical="top"/>
    </xf>
    <xf numFmtId="0" fontId="0" fillId="0" borderId="1" xfId="0" applyFont="1" applyFill="1" applyBorder="1" applyAlignment="1">
      <alignment horizontal="center" vertical="center"/>
    </xf>
    <xf numFmtId="2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center"/>
    </xf>
    <xf numFmtId="168" fontId="0" fillId="0" borderId="0" xfId="0" applyNumberFormat="1"/>
    <xf numFmtId="0" fontId="10" fillId="0" borderId="0" xfId="0" applyFont="1" applyAlignment="1">
      <alignment vertical="top"/>
    </xf>
    <xf numFmtId="0" fontId="20" fillId="0" borderId="0" xfId="0" applyFont="1"/>
    <xf numFmtId="0" fontId="19" fillId="0" borderId="0" xfId="0" applyFont="1" applyAlignment="1">
      <alignment horizontal="center" vertical="top"/>
    </xf>
    <xf numFmtId="0" fontId="20" fillId="0" borderId="1" xfId="0" applyFont="1" applyBorder="1"/>
    <xf numFmtId="0" fontId="20" fillId="0" borderId="1" xfId="0" applyFont="1" applyBorder="1" applyAlignment="1">
      <alignment wrapText="1"/>
    </xf>
    <xf numFmtId="2" fontId="20" fillId="0" borderId="1" xfId="0" applyNumberFormat="1" applyFont="1" applyBorder="1" applyAlignment="1">
      <alignment horizontal="left"/>
    </xf>
    <xf numFmtId="2" fontId="20" fillId="0" borderId="6" xfId="0" applyNumberFormat="1" applyFont="1" applyBorder="1" applyAlignment="1">
      <alignment horizontal="center"/>
    </xf>
    <xf numFmtId="167" fontId="20" fillId="0" borderId="6" xfId="12" applyFont="1" applyBorder="1"/>
    <xf numFmtId="167" fontId="21" fillId="0" borderId="7" xfId="12" applyFont="1" applyBorder="1"/>
    <xf numFmtId="0" fontId="21" fillId="0" borderId="2" xfId="0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2" fontId="7" fillId="2" borderId="1" xfId="0" applyNumberFormat="1" applyFont="1" applyFill="1" applyBorder="1" applyAlignment="1">
      <alignment horizontal="center"/>
    </xf>
    <xf numFmtId="0" fontId="20" fillId="2" borderId="5" xfId="0" applyFont="1" applyFill="1" applyBorder="1"/>
    <xf numFmtId="49" fontId="20" fillId="2" borderId="6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Font="1" applyFill="1"/>
    <xf numFmtId="0" fontId="8" fillId="0" borderId="0" xfId="0" applyFont="1" applyFill="1" applyAlignment="1">
      <alignment horizontal="center" vertical="top"/>
    </xf>
    <xf numFmtId="0" fontId="0" fillId="0" borderId="0" xfId="0" applyFont="1" applyFill="1" applyAlignment="1"/>
    <xf numFmtId="0" fontId="0" fillId="0" borderId="0" xfId="0" applyFont="1" applyFill="1" applyAlignment="1">
      <alignment vertical="top"/>
    </xf>
    <xf numFmtId="0" fontId="0" fillId="0" borderId="0" xfId="0" applyFont="1" applyFill="1" applyBorder="1" applyAlignment="1">
      <alignment horizontal="center" vertical="center"/>
    </xf>
    <xf numFmtId="2" fontId="0" fillId="0" borderId="1" xfId="0" applyNumberFormat="1" applyFont="1" applyFill="1" applyBorder="1" applyAlignment="1">
      <alignment horizontal="center"/>
    </xf>
    <xf numFmtId="0" fontId="0" fillId="0" borderId="0" xfId="0" applyFont="1" applyFill="1" applyBorder="1"/>
    <xf numFmtId="169" fontId="23" fillId="0" borderId="0" xfId="0" applyNumberFormat="1" applyFont="1" applyFill="1" applyAlignment="1">
      <alignment horizontal="center"/>
    </xf>
    <xf numFmtId="14" fontId="0" fillId="0" borderId="0" xfId="0" applyNumberFormat="1" applyFont="1" applyFill="1"/>
    <xf numFmtId="0" fontId="0" fillId="0" borderId="1" xfId="0" applyFont="1" applyFill="1" applyBorder="1" applyAlignment="1">
      <alignment horizontal="center" vertical="center" wrapText="1"/>
    </xf>
    <xf numFmtId="167" fontId="7" fillId="0" borderId="0" xfId="0" applyNumberFormat="1" applyFont="1" applyFill="1" applyBorder="1"/>
    <xf numFmtId="49" fontId="7" fillId="0" borderId="0" xfId="0" applyNumberFormat="1" applyFont="1" applyFill="1" applyBorder="1" applyAlignment="1">
      <alignment horizontal="right"/>
    </xf>
    <xf numFmtId="167" fontId="7" fillId="0" borderId="0" xfId="0" applyNumberFormat="1" applyFont="1" applyFill="1" applyBorder="1" applyAlignment="1">
      <alignment horizontal="right"/>
    </xf>
    <xf numFmtId="0" fontId="15" fillId="0" borderId="0" xfId="67" applyFill="1"/>
    <xf numFmtId="14" fontId="7" fillId="0" borderId="1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horizontal="left"/>
    </xf>
    <xf numFmtId="14" fontId="7" fillId="0" borderId="0" xfId="0" applyNumberFormat="1" applyFont="1" applyFill="1" applyBorder="1" applyAlignment="1">
      <alignment horizontal="center"/>
    </xf>
    <xf numFmtId="170" fontId="7" fillId="2" borderId="1" xfId="0" applyNumberFormat="1" applyFont="1" applyFill="1" applyBorder="1" applyAlignment="1">
      <alignment horizontal="center"/>
    </xf>
    <xf numFmtId="171" fontId="0" fillId="0" borderId="1" xfId="0" applyNumberFormat="1" applyFont="1" applyFill="1" applyBorder="1" applyAlignment="1">
      <alignment horizontal="center"/>
    </xf>
    <xf numFmtId="0" fontId="27" fillId="0" borderId="1" xfId="0" applyNumberFormat="1" applyFont="1" applyFill="1" applyBorder="1" applyAlignment="1">
      <alignment horizontal="left"/>
    </xf>
    <xf numFmtId="0" fontId="26" fillId="0" borderId="0" xfId="0" applyNumberFormat="1" applyFont="1" applyFill="1" applyAlignment="1">
      <alignment horizontal="center"/>
    </xf>
    <xf numFmtId="0" fontId="0" fillId="0" borderId="0" xfId="0" applyNumberFormat="1" applyFill="1"/>
    <xf numFmtId="0" fontId="28" fillId="0" borderId="6" xfId="0" applyNumberFormat="1" applyFont="1" applyBorder="1" applyAlignment="1">
      <alignment horizontal="center" wrapText="1"/>
    </xf>
    <xf numFmtId="0" fontId="25" fillId="0" borderId="0" xfId="0" applyNumberFormat="1" applyFont="1"/>
    <xf numFmtId="0" fontId="20" fillId="0" borderId="1" xfId="0" applyNumberFormat="1" applyFont="1" applyBorder="1" applyAlignment="1">
      <alignment horizontal="left"/>
    </xf>
    <xf numFmtId="0" fontId="0" fillId="0" borderId="0" xfId="0"/>
    <xf numFmtId="2" fontId="0" fillId="0" borderId="0" xfId="0" applyNumberFormat="1"/>
    <xf numFmtId="167" fontId="29" fillId="0" borderId="1" xfId="0" applyNumberFormat="1" applyFont="1" applyFill="1" applyBorder="1"/>
    <xf numFmtId="167" fontId="6" fillId="0" borderId="1" xfId="12" applyFont="1" applyFill="1" applyBorder="1"/>
    <xf numFmtId="167" fontId="6" fillId="2" borderId="1" xfId="12" applyFont="1" applyFill="1" applyBorder="1"/>
    <xf numFmtId="49" fontId="7" fillId="2" borderId="1" xfId="0" applyNumberFormat="1" applyFont="1" applyFill="1" applyBorder="1" applyAlignment="1">
      <alignment horizontal="center" vertical="center" wrapText="1"/>
    </xf>
    <xf numFmtId="0" fontId="7" fillId="0" borderId="0" xfId="0" applyNumberFormat="1" applyFont="1" applyFill="1" applyBorder="1"/>
    <xf numFmtId="49" fontId="9" fillId="0" borderId="0" xfId="0" applyNumberFormat="1" applyFont="1" applyFill="1" applyAlignment="1"/>
    <xf numFmtId="49" fontId="11" fillId="0" borderId="0" xfId="0" applyNumberFormat="1" applyFont="1" applyFill="1" applyAlignment="1"/>
    <xf numFmtId="0" fontId="0" fillId="0" borderId="6" xfId="0" applyFont="1" applyFill="1" applyBorder="1" applyAlignment="1">
      <alignment horizontal="center" vertical="center" wrapText="1"/>
    </xf>
    <xf numFmtId="49" fontId="0" fillId="2" borderId="1" xfId="0" applyNumberFormat="1" applyFont="1" applyFill="1" applyBorder="1" applyAlignment="1">
      <alignment horizontal="center"/>
    </xf>
    <xf numFmtId="0" fontId="0" fillId="0" borderId="1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 wrapText="1"/>
    </xf>
    <xf numFmtId="0" fontId="14" fillId="0" borderId="12" xfId="0" applyFont="1" applyFill="1" applyBorder="1" applyAlignment="1">
      <alignment horizontal="center" vertical="center" wrapText="1"/>
    </xf>
    <xf numFmtId="0" fontId="0" fillId="0" borderId="12" xfId="0" applyFont="1" applyFill="1" applyBorder="1" applyAlignment="1">
      <alignment horizontal="center" vertical="center"/>
    </xf>
    <xf numFmtId="0" fontId="32" fillId="0" borderId="12" xfId="0" applyFont="1" applyFill="1" applyBorder="1" applyAlignment="1">
      <alignment horizontal="center" vertical="center" wrapText="1"/>
    </xf>
    <xf numFmtId="0" fontId="30" fillId="0" borderId="12" xfId="0" applyFont="1" applyFill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center"/>
    </xf>
    <xf numFmtId="167" fontId="0" fillId="0" borderId="0" xfId="12" applyFont="1" applyFill="1"/>
    <xf numFmtId="172" fontId="6" fillId="0" borderId="1" xfId="12" applyNumberFormat="1" applyFont="1" applyFill="1" applyBorder="1"/>
    <xf numFmtId="167" fontId="34" fillId="2" borderId="1" xfId="12" applyNumberFormat="1" applyFont="1" applyFill="1" applyBorder="1"/>
    <xf numFmtId="167" fontId="35" fillId="0" borderId="0" xfId="0" applyNumberFormat="1" applyFont="1" applyFill="1" applyBorder="1"/>
    <xf numFmtId="167" fontId="7" fillId="0" borderId="11" xfId="0" applyNumberFormat="1" applyFont="1" applyFill="1" applyBorder="1"/>
    <xf numFmtId="0" fontId="36" fillId="0" borderId="0" xfId="0" applyFont="1" applyFill="1" applyBorder="1"/>
    <xf numFmtId="0" fontId="37" fillId="0" borderId="6" xfId="0" applyNumberFormat="1" applyFont="1" applyBorder="1" applyAlignment="1">
      <alignment horizontal="center"/>
    </xf>
    <xf numFmtId="0" fontId="37" fillId="0" borderId="6" xfId="0" applyNumberFormat="1" applyFont="1" applyBorder="1" applyAlignment="1">
      <alignment horizontal="center" wrapText="1"/>
    </xf>
    <xf numFmtId="2" fontId="20" fillId="0" borderId="7" xfId="12" applyNumberFormat="1" applyFont="1" applyBorder="1" applyAlignment="1">
      <alignment horizontal="right"/>
    </xf>
    <xf numFmtId="167" fontId="38" fillId="0" borderId="0" xfId="0" applyNumberFormat="1" applyFont="1" applyFill="1" applyBorder="1"/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14" fontId="0" fillId="0" borderId="0" xfId="0" applyNumberFormat="1" applyFill="1"/>
    <xf numFmtId="14" fontId="27" fillId="0" borderId="1" xfId="0" applyNumberFormat="1" applyFont="1" applyFill="1" applyBorder="1" applyAlignment="1">
      <alignment horizontal="left"/>
    </xf>
    <xf numFmtId="14" fontId="0" fillId="0" borderId="0" xfId="0" applyNumberFormat="1"/>
    <xf numFmtId="14" fontId="0" fillId="0" borderId="1" xfId="0" applyNumberFormat="1" applyFont="1" applyFill="1" applyBorder="1" applyAlignment="1">
      <alignment horizontal="center" vertical="center" wrapText="1"/>
    </xf>
    <xf numFmtId="0" fontId="34" fillId="0" borderId="1" xfId="0" applyFont="1" applyFill="1" applyBorder="1" applyAlignment="1">
      <alignment horizontal="center" vertical="center"/>
    </xf>
    <xf numFmtId="2" fontId="38" fillId="0" borderId="1" xfId="0" applyNumberFormat="1" applyFont="1" applyFill="1" applyBorder="1" applyAlignment="1">
      <alignment horizontal="center" vertical="center"/>
    </xf>
    <xf numFmtId="49" fontId="7" fillId="0" borderId="13" xfId="0" applyNumberFormat="1" applyFont="1" applyFill="1" applyBorder="1" applyAlignment="1">
      <alignment horizontal="right"/>
    </xf>
    <xf numFmtId="167" fontId="7" fillId="0" borderId="13" xfId="0" applyNumberFormat="1" applyFont="1" applyFill="1" applyBorder="1"/>
    <xf numFmtId="0" fontId="24" fillId="0" borderId="0" xfId="0" applyFont="1" applyFill="1" applyAlignment="1">
      <alignment horizontal="center" vertical="top"/>
    </xf>
    <xf numFmtId="0" fontId="7" fillId="2" borderId="0" xfId="0" applyFont="1" applyFill="1" applyAlignment="1">
      <alignment horizontal="left" vertical="top"/>
    </xf>
    <xf numFmtId="0" fontId="7" fillId="0" borderId="0" xfId="0" applyFont="1" applyFill="1" applyAlignment="1">
      <alignment horizontal="left" vertical="top"/>
    </xf>
    <xf numFmtId="0" fontId="7" fillId="0" borderId="0" xfId="0" applyFont="1" applyFill="1" applyAlignment="1">
      <alignment horizontal="left" vertical="top" wrapText="1"/>
    </xf>
    <xf numFmtId="0" fontId="0" fillId="0" borderId="8" xfId="0" applyNumberFormat="1" applyFont="1" applyFill="1" applyBorder="1" applyAlignment="1">
      <alignment horizontal="center" vertical="center" wrapText="1"/>
    </xf>
    <xf numFmtId="0" fontId="0" fillId="0" borderId="10" xfId="0" applyNumberFormat="1" applyFont="1" applyFill="1" applyBorder="1" applyAlignment="1">
      <alignment horizontal="center" vertical="center" wrapText="1"/>
    </xf>
    <xf numFmtId="0" fontId="34" fillId="0" borderId="8" xfId="0" applyFont="1" applyFill="1" applyBorder="1" applyAlignment="1">
      <alignment horizontal="center" vertical="center"/>
    </xf>
    <xf numFmtId="0" fontId="34" fillId="0" borderId="9" xfId="0" applyFont="1" applyFill="1" applyBorder="1" applyAlignment="1">
      <alignment horizontal="center" vertical="center"/>
    </xf>
    <xf numFmtId="0" fontId="34" fillId="0" borderId="10" xfId="0" applyFont="1" applyFill="1" applyBorder="1" applyAlignment="1">
      <alignment horizontal="center" vertical="center"/>
    </xf>
    <xf numFmtId="0" fontId="17" fillId="0" borderId="0" xfId="0" applyFont="1" applyFill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8" xfId="0" applyFont="1" applyFill="1" applyBorder="1" applyAlignment="1">
      <alignment horizontal="center" wrapText="1"/>
    </xf>
    <xf numFmtId="0" fontId="0" fillId="0" borderId="9" xfId="0" applyFont="1" applyFill="1" applyBorder="1" applyAlignment="1">
      <alignment horizontal="center" wrapText="1"/>
    </xf>
    <xf numFmtId="0" fontId="0" fillId="0" borderId="10" xfId="0" applyFont="1" applyFill="1" applyBorder="1" applyAlignment="1">
      <alignment horizontal="center" wrapText="1"/>
    </xf>
    <xf numFmtId="0" fontId="0" fillId="0" borderId="6" xfId="0" applyFont="1" applyFill="1" applyBorder="1" applyAlignment="1">
      <alignment horizontal="center" vertical="center" wrapText="1"/>
    </xf>
    <xf numFmtId="0" fontId="0" fillId="0" borderId="3" xfId="0" applyFont="1" applyFill="1" applyBorder="1" applyAlignment="1">
      <alignment horizontal="center" vertical="center" wrapText="1"/>
    </xf>
    <xf numFmtId="0" fontId="0" fillId="0" borderId="7" xfId="0" applyFont="1" applyFill="1" applyBorder="1" applyAlignment="1">
      <alignment horizontal="center" vertical="center" wrapText="1"/>
    </xf>
    <xf numFmtId="0" fontId="0" fillId="0" borderId="5" xfId="0" applyFont="1" applyFill="1" applyBorder="1" applyAlignment="1">
      <alignment horizontal="center" vertical="center" wrapText="1"/>
    </xf>
    <xf numFmtId="0" fontId="0" fillId="0" borderId="4" xfId="0" applyFont="1" applyFill="1" applyBorder="1" applyAlignment="1">
      <alignment horizontal="center" vertical="center" wrapText="1"/>
    </xf>
    <xf numFmtId="0" fontId="0" fillId="0" borderId="2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top"/>
    </xf>
  </cellXfs>
  <cellStyles count="74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0000000-0005-0000-0000-00000E000000}"/>
    <cellStyle name="Hyperlink" xfId="67" builtinId="8"/>
    <cellStyle name="Hyperlink 2" xfId="71" xr:uid="{00000000-0005-0000-0000-000010000000}"/>
    <cellStyle name="Normal" xfId="0" builtinId="0"/>
    <cellStyle name="Normal 10" xfId="15" xr:uid="{00000000-0005-0000-0000-000012000000}"/>
    <cellStyle name="Normal 10 3 2" xfId="25" xr:uid="{00000000-0005-0000-0000-000013000000}"/>
    <cellStyle name="Normal 10 5" xfId="19" xr:uid="{00000000-0005-0000-0000-000014000000}"/>
    <cellStyle name="Normal 11" xfId="5" xr:uid="{00000000-0005-0000-0000-000015000000}"/>
    <cellStyle name="Normal 2" xfId="6" xr:uid="{00000000-0005-0000-0000-000016000000}"/>
    <cellStyle name="Normal 2 10" xfId="16" xr:uid="{00000000-0005-0000-0000-000017000000}"/>
    <cellStyle name="Normal 2 14" xfId="62" xr:uid="{00000000-0005-0000-0000-000018000000}"/>
    <cellStyle name="Normal 2 19" xfId="35" xr:uid="{00000000-0005-0000-0000-000019000000}"/>
    <cellStyle name="Normal 2 2 2 4" xfId="24" xr:uid="{00000000-0005-0000-0000-00001A000000}"/>
    <cellStyle name="Normal 2 3" xfId="30" xr:uid="{00000000-0005-0000-0000-00001B000000}"/>
    <cellStyle name="Normal 2 4" xfId="7" xr:uid="{00000000-0005-0000-0000-00001C000000}"/>
    <cellStyle name="Normal 2 4 2" xfId="37" xr:uid="{00000000-0005-0000-0000-00001D000000}"/>
    <cellStyle name="Normal 2 5" xfId="66" xr:uid="{00000000-0005-0000-0000-00001E000000}"/>
    <cellStyle name="Normal 2 5 2" xfId="70" xr:uid="{00000000-0005-0000-0000-00001F000000}"/>
    <cellStyle name="Normal 20" xfId="45" xr:uid="{00000000-0005-0000-0000-000020000000}"/>
    <cellStyle name="Normal 21" xfId="46" xr:uid="{00000000-0005-0000-0000-000021000000}"/>
    <cellStyle name="Normal 22" xfId="48" xr:uid="{00000000-0005-0000-0000-000022000000}"/>
    <cellStyle name="Normal 23" xfId="50" xr:uid="{00000000-0005-0000-0000-000023000000}"/>
    <cellStyle name="Normal 24" xfId="51" xr:uid="{00000000-0005-0000-0000-000024000000}"/>
    <cellStyle name="Normal 25" xfId="53" xr:uid="{00000000-0005-0000-0000-000025000000}"/>
    <cellStyle name="Normal 26" xfId="52" xr:uid="{00000000-0005-0000-0000-000026000000}"/>
    <cellStyle name="Normal 28" xfId="59" xr:uid="{00000000-0005-0000-0000-000027000000}"/>
    <cellStyle name="Normal 29 3 2" xfId="44" xr:uid="{00000000-0005-0000-0000-000028000000}"/>
    <cellStyle name="Normal 3" xfId="1" xr:uid="{00000000-0005-0000-0000-000029000000}"/>
    <cellStyle name="Normal 3 16 2" xfId="36" xr:uid="{00000000-0005-0000-0000-00002A000000}"/>
    <cellStyle name="Normal 3 2" xfId="13" xr:uid="{00000000-0005-0000-0000-00002B000000}"/>
    <cellStyle name="Normal 3 2 3" xfId="14" xr:uid="{00000000-0005-0000-0000-00002C000000}"/>
    <cellStyle name="Normal 3 3" xfId="72" xr:uid="{00000000-0005-0000-0000-00002D000000}"/>
    <cellStyle name="Normal 3 6" xfId="20" xr:uid="{00000000-0005-0000-0000-00002E000000}"/>
    <cellStyle name="Normal 30" xfId="8" xr:uid="{00000000-0005-0000-0000-00002F000000}"/>
    <cellStyle name="Normal 31" xfId="55" xr:uid="{00000000-0005-0000-0000-000030000000}"/>
    <cellStyle name="Normal 32 2" xfId="18" xr:uid="{00000000-0005-0000-0000-000031000000}"/>
    <cellStyle name="Normal 33" xfId="9" xr:uid="{00000000-0005-0000-0000-000032000000}"/>
    <cellStyle name="Normal 4" xfId="11" xr:uid="{00000000-0005-0000-0000-000033000000}"/>
    <cellStyle name="Normal 4 10" xfId="28" xr:uid="{00000000-0005-0000-0000-000034000000}"/>
    <cellStyle name="Normal 4 28" xfId="33" xr:uid="{00000000-0005-0000-0000-000035000000}"/>
    <cellStyle name="Normal 5" xfId="68" xr:uid="{00000000-0005-0000-0000-000036000000}"/>
    <cellStyle name="Normal 5 16" xfId="34" xr:uid="{00000000-0005-0000-0000-000037000000}"/>
    <cellStyle name="Normal 53" xfId="73" xr:uid="{00000000-0005-0000-0000-000038000000}"/>
    <cellStyle name="Normal 54" xfId="58" xr:uid="{00000000-0005-0000-0000-000039000000}"/>
    <cellStyle name="Normal 54 4" xfId="23" xr:uid="{00000000-0005-0000-0000-00003A000000}"/>
    <cellStyle name="Normal 55 2" xfId="29" xr:uid="{00000000-0005-0000-0000-00003B000000}"/>
    <cellStyle name="Normal 57 2" xfId="26" xr:uid="{00000000-0005-0000-0000-00003C000000}"/>
    <cellStyle name="Normal 59" xfId="22" xr:uid="{00000000-0005-0000-0000-00003D000000}"/>
    <cellStyle name="Normal 6" xfId="39" xr:uid="{00000000-0005-0000-0000-00003E000000}"/>
    <cellStyle name="Normal 6 2" xfId="54" xr:uid="{00000000-0005-0000-0000-00003F000000}"/>
    <cellStyle name="Normal 68" xfId="21" xr:uid="{00000000-0005-0000-0000-000040000000}"/>
    <cellStyle name="Normal 69" xfId="32" xr:uid="{00000000-0005-0000-0000-000041000000}"/>
    <cellStyle name="Normal 69 2" xfId="63" xr:uid="{00000000-0005-0000-0000-000042000000}"/>
    <cellStyle name="Normal 7 10" xfId="38" xr:uid="{00000000-0005-0000-0000-000043000000}"/>
    <cellStyle name="Normal 70" xfId="41" xr:uid="{00000000-0005-0000-0000-000044000000}"/>
    <cellStyle name="Normal 70 2" xfId="64" xr:uid="{00000000-0005-0000-0000-000045000000}"/>
    <cellStyle name="Normal 71" xfId="40" xr:uid="{00000000-0005-0000-0000-000046000000}"/>
    <cellStyle name="Normal 71 2" xfId="61" xr:uid="{00000000-0005-0000-0000-000047000000}"/>
    <cellStyle name="Percent 2" xfId="10" xr:uid="{00000000-0005-0000-0000-000048000000}"/>
    <cellStyle name="Percent 3 4" xfId="42" xr:uid="{00000000-0005-0000-0000-000049000000}"/>
  </cellStyles>
  <dxfs count="61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/>
      </font>
      <alignment horizontal="center" vertical="bottom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b/>
        <sz val="14"/>
      </font>
      <numFmt numFmtId="167" formatCode="_ * #,##0.00_ ;_ * \-#,##0.00_ ;_ * &quot;-&quot;??_ ;_ @_ 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z val="14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14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14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14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rgb="FF000000"/>
        <name val="Calibri"/>
        <scheme val="none"/>
      </font>
      <numFmt numFmtId="167" formatCode="_ * #,##0.00_ ;_ * \-#,##0.00_ ;_ * &quot;-&quot;??_ ;_ @_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</font>
      <numFmt numFmtId="172" formatCode="_ * #,##0.00_ ;_ * \(#,##0.00\)_ ;_ * &quot;-&quot;??_ ;_ @_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171" formatCode="0.00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</font>
      <numFmt numFmtId="167" formatCode="_ * #,##0.00_ ;_ * \-#,##0.00_ ;_ * &quot;-&quot;??_ ;_ @_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7" formatCode="_ * #,##0.00_ ;_ * \-#,##0.00_ ;_ * &quot;-&quot;??_ ;_ @_ 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yyyy/mm/dd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7" formatCode="_ * #,##0.00_ ;_ * \-#,##0.00_ ;_ * &quot;-&quot;??_ ;_ @_ "/>
      <fill>
        <patternFill patternType="none">
          <fgColor indexed="64"/>
          <bgColor auto="1"/>
        </patternFill>
      </fill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strike val="0"/>
        <outline val="0"/>
        <shadow val="0"/>
        <u val="none"/>
        <sz val="11"/>
        <color rgb="FF000000"/>
        <name val="Calibri"/>
        <scheme val="none"/>
      </font>
      <numFmt numFmtId="167" formatCode="_ * #,##0.00_ ;_ * \-#,##0.00_ ;_ * &quot;-&quot;??_ ;_ @_ "/>
      <fill>
        <patternFill patternType="none">
          <fgColor indexed="64"/>
          <bgColor auto="1"/>
        </patternFill>
      </fill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704850</xdr:colOff>
      <xdr:row>12</xdr:row>
      <xdr:rowOff>0</xdr:rowOff>
    </xdr:from>
    <xdr:ext cx="3412071" cy="753393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B032D8B2-892A-4174-B9C5-BDE629A5D207}"/>
            </a:ext>
          </a:extLst>
        </xdr:cNvPr>
        <xdr:cNvSpPr/>
      </xdr:nvSpPr>
      <xdr:spPr>
        <a:xfrm>
          <a:off x="6307791" y="2846294"/>
          <a:ext cx="3412071" cy="753393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35521</xdr:rowOff>
    </xdr:from>
    <xdr:ext cx="2878288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198071"/>
              <a:ext cx="2878288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𝑃𝑟𝑖𝑐𝑒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𝐴𝑑𝑗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.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𝑓𝑎𝑐𝑡𝑜𝑟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𝑏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𝑜</m:t>
                            </m:r>
                          </m:sub>
                        </m:sSub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𝑐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𝑜</m:t>
                            </m:r>
                          </m:sub>
                        </m:sSub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𝑑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𝐸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𝐸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𝑜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198071"/>
              <a:ext cx="2878288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∗𝑃𝑟𝑖𝑐𝑒 𝐴𝑑𝑗. 𝑓𝑎𝑐𝑡𝑜𝑟 =𝐴+𝑏 𝐿_𝑛/𝐿_𝑜 +𝑐 𝑀_𝑛/𝑀_𝑜 +𝑑 𝐸_𝑛/𝐸_𝑜 </a:t>
              </a:r>
              <a:endParaRPr lang="en-GB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519443</xdr:colOff>
      <xdr:row>3</xdr:row>
      <xdr:rowOff>0</xdr:rowOff>
    </xdr:from>
    <xdr:ext cx="3071482" cy="65594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8DD0D93-69EC-4F5F-8281-E421870669A9}"/>
            </a:ext>
          </a:extLst>
        </xdr:cNvPr>
        <xdr:cNvSpPr/>
      </xdr:nvSpPr>
      <xdr:spPr>
        <a:xfrm>
          <a:off x="7806068" y="1162050"/>
          <a:ext cx="3071482" cy="655949"/>
        </a:xfrm>
        <a:prstGeom prst="rect">
          <a:avLst/>
        </a:prstGeom>
        <a:solidFill>
          <a:srgbClr val="FFFF00"/>
        </a:solidFill>
        <a:ln>
          <a:solidFill>
            <a:schemeClr val="accent1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43" displayName="Table243" ref="A17:N21" totalsRowCount="1" headerRowDxfId="59" dataDxfId="57" totalsRowDxfId="55" headerRowBorderDxfId="58" tableBorderDxfId="56" totalsRowBorderDxfId="54">
  <tableColumns count="14">
    <tableColumn id="1" xr3:uid="{00000000-0010-0000-0000-000001000000}" name="IPC No." dataDxfId="53" totalsRowDxfId="52"/>
    <tableColumn id="2" xr3:uid="{00000000-0010-0000-0000-000002000000}" name="IPC Submisstion_x000a_Date" dataDxfId="51" totalsRowDxfId="50"/>
    <tableColumn id="8" xr3:uid="{00000000-0010-0000-0000-000008000000}" name="30 days prior to IPC Submission Date" dataDxfId="49" totalsRowDxfId="48">
      <calculatedColumnFormula array="1">ad2bs(BS2AD(Table243[[#This Row],[IPC Submisstion
Date]])-30)</calculatedColumnFormula>
    </tableColumn>
    <tableColumn id="7" xr3:uid="{00000000-0010-0000-0000-000007000000}" name="AD Date" dataDxfId="47" totalsRowDxfId="46">
      <calculatedColumnFormula array="1">BS2AD(Table243[[#This Row],[30 days prior to IPC Submission Date]])</calculatedColumnFormula>
    </tableColumn>
    <tableColumn id="14" xr3:uid="{00000000-0010-0000-0000-00000E000000}" name="Month" dataDxfId="45" totalsRowDxfId="44">
      <calculatedColumnFormula array="1">CONCATENATE(LEFT(BSnrb(Table243[[#This Row],[30 days prior to IPC Submission Date]],"qtr"),5),VLOOKUP(BSnrb(Table243[[#This Row],[30 days prior to IPC Submission Date]],"qtr"),Table1[],2))</calculatedColumnFormula>
    </tableColumn>
    <tableColumn id="10" xr3:uid="{00000000-0010-0000-0000-00000A000000}" name="IPC Amount" totalsRowFunction="sum" dataDxfId="43" totalsRowDxfId="42" dataCellStyle="Comma"/>
    <tableColumn id="13" xr3:uid="{00000000-0010-0000-0000-00000D000000}" name="Deduction for PS / Other" totalsRowFunction="sum" dataDxfId="41" totalsRowDxfId="40" dataCellStyle="Comma"/>
    <tableColumn id="11" xr3:uid="{00000000-0010-0000-0000-00000B000000}" name="IPC Amount_x000a_for Price Adj." totalsRowFunction="sum" dataDxfId="39" totalsRowDxfId="38" dataCellStyle="Comma">
      <calculatedColumnFormula>Table243[[#This Row],[IPC Amount]]-Table243[[#This Row],[Deduction for PS / Other]]</calculatedColumnFormula>
    </tableColumn>
    <tableColumn id="3" xr3:uid="{00000000-0010-0000-0000-000003000000}" name="Ln" dataDxfId="37" totalsRowDxfId="36">
      <calculatedColumnFormula array="1">IFERROR(
IF(BS2AD(Table243[[#This Row],[30 days prior to IPC Submission Date]]) &lt; BS2AD(intendedCompletionDate),
BSnrb(Table243[[#This Row],[30 days prior to IPC Submission Date]],"l"),
BSnrb(intendedCompletionDate,"l")),
BSnrb(Table243[[#This Row],[30 days prior to IPC Submission Date]],"l"))</calculatedColumnFormula>
    </tableColumn>
    <tableColumn id="4" xr3:uid="{00000000-0010-0000-0000-000004000000}" name="Mn" dataDxfId="35" totalsRowDxfId="34">
      <calculatedColumnFormula array="1">IFERROR(
IF(BS2AD(Table243[[#This Row],[30 days prior to IPC Submission Date]]) &lt; BS2AD(intendedCompletionDate),
BSnrb(Table243[[#This Row],[30 days prior to IPC Submission Date]],"m"),
BSnrb(intendedCompletionDate,"m")),
BSnrb(Table243[[#This Row],[30 days prior to IPC Submission Date]],"m"))</calculatedColumnFormula>
    </tableColumn>
    <tableColumn id="5" xr3:uid="{00000000-0010-0000-0000-000005000000}" name="En" dataDxfId="33" totalsRowDxfId="32">
      <calculatedColumnFormula array="1">IFERROR(
IF(BS2AD(Table243[[#This Row],[30 days prior to IPC Submission Date]]) &lt; BS2AD(intendedCompletionDate),
BSnrb(Table243[[#This Row],[30 days prior to IPC Submission Date]],"n"),
BSnrb(intendedCompletionDate,"n")),
BSnrb(Table243[[#This Row],[30 days prior to IPC Submission Date]],"n"))</calculatedColumnFormula>
    </tableColumn>
    <tableColumn id="6" xr3:uid="{00000000-0010-0000-0000-000006000000}" name="*Price Adj._x000a_factor" totalsRowLabel="TOTAL" dataDxfId="31" totalsRowDxfId="30">
      <calculatedColumnFormula>a+
b*Table243[[#This Row],[Ln]]/lo+
c_*Table243[[#This Row],[Mn]]/mo+
d*Table243[[#This Row],[En]]/no</calculatedColumnFormula>
    </tableColumn>
    <tableColumn id="9" xr3:uid="{00000000-0010-0000-0000-000009000000}" name="Net Price Adj._x000a_Amount" totalsRowFunction="sum" dataDxfId="29" totalsRowDxfId="28" dataCellStyle="Comma">
      <calculatedColumnFormula>(Table243[[#This Row],[*Price Adj.
factor]]-1) * Table243[[#This Row],[IPC Amount
for Price Adj.]]</calculatedColumnFormula>
    </tableColumn>
    <tableColumn id="12" xr3:uid="{00000000-0010-0000-0000-00000C000000}" name="Remarks" dataDxfId="27" totalsRowDxfId="2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projectTable" displayName="projectTable" ref="A7:H9" totalsRowShown="0" headerRowDxfId="25" headerRowBorderDxfId="24" tableBorderDxfId="23" totalsRowBorderDxfId="22">
  <autoFilter ref="A7:H9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100-000001000000}" name="Project" dataDxfId="21"/>
    <tableColumn id="2" xr3:uid="{00000000-0010-0000-0100-000002000000}" name="Actual Date_x000a_of Completion" dataDxfId="20"/>
    <tableColumn id="6" xr3:uid="{00000000-0010-0000-0100-000006000000}" name="AD Date" dataDxfId="19">
      <calculatedColumnFormula array="1">BS2AD(projectTable[[#This Row],[Actual Date
of Completion]])</calculatedColumnFormula>
    </tableColumn>
    <tableColumn id="7" xr3:uid="{00000000-0010-0000-0100-000007000000}" name="Month" dataDxfId="18">
      <calculatedColumnFormula array="1">CONCATENATE(LEFT(BSnrb(projectTable[[#This Row],[Actual Date
of Completion]],"qtr"),5),VLOOKUP(BSnrb(projectTable[[#This Row],[Actual Date
of Completion]],"qtr"),Table1[],2,FALSE))</calculatedColumnFormula>
    </tableColumn>
    <tableColumn id="3" xr3:uid="{00000000-0010-0000-0100-000003000000}" name="National Wholesale_x000a_Price Index (overall)" dataDxfId="17">
      <calculatedColumnFormula>BSnrb(projectTable[[#This Row],[Actual Date
of Completion]],"o")</calculatedColumnFormula>
    </tableColumn>
    <tableColumn id="4" xr3:uid="{00000000-0010-0000-0100-000004000000}" name="Amount Paid on_x000a_Completion (w/o VAT)" dataDxfId="16" dataCellStyle="Comma"/>
    <tableColumn id="8" xr3:uid="{EC6B288E-964C-4F28-BF5D-D5D2B9E69E1C}" name="Multplying Factor" dataDxfId="15" dataCellStyle="Comma">
      <calculatedColumnFormula>presentIndex/projectTable[[#This Row],[National Wholesale
Price Index (overall)]]</calculatedColumnFormula>
    </tableColumn>
    <tableColumn id="5" xr3:uid="{00000000-0010-0000-0100-000005000000}" name="Present Value_x000a_(w/o VAT)" dataDxfId="14" dataCellStyle="Comma">
      <calculatedColumnFormula>projectTable[[#This Row],[Amount Paid on
Completion (w/o VAT)]]*projectTable[[#This Row],[Multplying Factor]]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1" displayName="Table1" ref="A1:F132" totalsRowShown="0" headerRowDxfId="5">
  <autoFilter ref="A1:F132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200-000001000000}" name="SN" dataDxfId="4"/>
    <tableColumn id="2" xr3:uid="{00000000-0010-0000-0200-000002000000}" name="Date"/>
    <tableColumn id="3" xr3:uid="{00000000-0010-0000-0200-000003000000}" name="Labour" dataDxfId="3"/>
    <tableColumn id="4" xr3:uid="{00000000-0010-0000-0200-000004000000}" name="Material" dataDxfId="2"/>
    <tableColumn id="5" xr3:uid="{00000000-0010-0000-0200-000005000000}" name="Equipment" dataDxfId="1"/>
    <tableColumn id="6" xr3:uid="{00000000-0010-0000-0200-000006000000}" name="Overall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AN100"/>
  <sheetViews>
    <sheetView tabSelected="1" zoomScaleNormal="100" zoomScaleSheetLayoutView="85" workbookViewId="0">
      <selection activeCell="B3" sqref="B3:N3"/>
    </sheetView>
  </sheetViews>
  <sheetFormatPr defaultColWidth="12.42578125" defaultRowHeight="15"/>
  <cols>
    <col min="1" max="1" width="15.28515625" style="25" bestFit="1" customWidth="1"/>
    <col min="2" max="2" width="16.28515625" style="25" customWidth="1"/>
    <col min="3" max="3" width="12.85546875" style="25" bestFit="1" customWidth="1"/>
    <col min="4" max="4" width="10.7109375" style="25" bestFit="1" customWidth="1"/>
    <col min="5" max="5" width="13.42578125" style="25" bestFit="1" customWidth="1"/>
    <col min="6" max="6" width="15.28515625" style="25" bestFit="1" customWidth="1"/>
    <col min="7" max="7" width="17" style="25" bestFit="1" customWidth="1"/>
    <col min="8" max="8" width="15.42578125" style="25" customWidth="1"/>
    <col min="9" max="9" width="10.85546875" style="25" customWidth="1"/>
    <col min="10" max="11" width="6.5703125" style="24" bestFit="1" customWidth="1"/>
    <col min="12" max="12" width="13.7109375" style="24" bestFit="1" customWidth="1"/>
    <col min="13" max="13" width="15" style="46" bestFit="1" customWidth="1"/>
    <col min="14" max="14" width="8.5703125" style="24" bestFit="1" customWidth="1"/>
    <col min="15" max="15" width="10.42578125" style="24" bestFit="1" customWidth="1"/>
    <col min="16" max="36" width="12.42578125" style="24"/>
    <col min="37" max="16384" width="12.42578125" style="25"/>
  </cols>
  <sheetData>
    <row r="1" spans="1:40" ht="23.25">
      <c r="A1" s="88" t="s">
        <v>70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</row>
    <row r="2" spans="1:40">
      <c r="A2" s="26"/>
      <c r="B2" s="26"/>
      <c r="C2" s="26"/>
      <c r="D2" s="26"/>
      <c r="E2" s="26"/>
      <c r="F2" s="26"/>
      <c r="G2" s="26"/>
      <c r="H2" s="26"/>
      <c r="I2" s="26"/>
    </row>
    <row r="3" spans="1:40">
      <c r="A3" s="27" t="s">
        <v>108</v>
      </c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1:40">
      <c r="A4" s="27" t="s">
        <v>69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</row>
    <row r="5" spans="1:40">
      <c r="A5" s="27" t="s">
        <v>44</v>
      </c>
      <c r="B5" s="90"/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</row>
    <row r="6" spans="1:40" ht="30.75" customHeight="1">
      <c r="A6" s="28" t="s">
        <v>43</v>
      </c>
      <c r="B6" s="91"/>
      <c r="C6" s="91"/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</row>
    <row r="7" spans="1:40">
      <c r="A7" s="27"/>
      <c r="B7" s="27"/>
    </row>
    <row r="8" spans="1:40" ht="33" customHeight="1">
      <c r="A8" s="100" t="s">
        <v>81</v>
      </c>
      <c r="B8" s="104" t="s">
        <v>82</v>
      </c>
      <c r="C8" s="101" t="s">
        <v>83</v>
      </c>
      <c r="D8" s="102"/>
      <c r="E8" s="103"/>
      <c r="G8" s="104" t="s">
        <v>85</v>
      </c>
      <c r="H8" s="104" t="s">
        <v>84</v>
      </c>
      <c r="I8" s="104" t="s">
        <v>71</v>
      </c>
      <c r="J8" s="106" t="s">
        <v>77</v>
      </c>
      <c r="K8" s="107"/>
      <c r="L8" s="94" t="s">
        <v>86</v>
      </c>
      <c r="M8" s="95"/>
      <c r="N8" s="96"/>
      <c r="P8" s="46"/>
      <c r="AK8" s="24"/>
      <c r="AL8" s="24"/>
      <c r="AM8" s="24"/>
      <c r="AN8" s="24"/>
    </row>
    <row r="9" spans="1:40" ht="18">
      <c r="A9" s="100"/>
      <c r="B9" s="105"/>
      <c r="C9" s="78" t="s">
        <v>96</v>
      </c>
      <c r="D9" s="78" t="s">
        <v>97</v>
      </c>
      <c r="E9" s="78" t="s">
        <v>98</v>
      </c>
      <c r="F9" s="29"/>
      <c r="G9" s="105"/>
      <c r="H9" s="105"/>
      <c r="I9" s="105"/>
      <c r="J9" s="108"/>
      <c r="K9" s="109"/>
      <c r="L9" s="84" t="s">
        <v>104</v>
      </c>
      <c r="M9" s="84" t="s">
        <v>105</v>
      </c>
      <c r="N9" s="84" t="s">
        <v>106</v>
      </c>
      <c r="P9" s="46"/>
      <c r="AK9" s="24"/>
      <c r="AL9" s="24"/>
      <c r="AM9" s="24"/>
      <c r="AN9" s="24"/>
    </row>
    <row r="10" spans="1:40">
      <c r="A10" s="42" t="s">
        <v>87</v>
      </c>
      <c r="B10" s="39" t="str" cm="1">
        <f t="array" ref="B10">ad2bs(BS2AD(A10)-30)</f>
        <v>2075-12-1</v>
      </c>
      <c r="C10" s="30">
        <f>BSnrb($B$10,"l")</f>
        <v>474.7</v>
      </c>
      <c r="D10" s="30">
        <f>BSnrb($B$10,"m")</f>
        <v>107.217766</v>
      </c>
      <c r="E10" s="30">
        <f>BSnrb($B$10,"n")</f>
        <v>104.40072000000001</v>
      </c>
      <c r="F10" s="31"/>
      <c r="G10" s="55" t="s">
        <v>88</v>
      </c>
      <c r="H10" s="55" t="s">
        <v>107</v>
      </c>
      <c r="I10" s="83" t="str" cm="1">
        <f t="array" ref="I10">BS2AD(intendedCompletionDate)</f>
        <v>2021-6-14</v>
      </c>
      <c r="J10" s="92" t="str" cm="1">
        <f t="array" ref="J10">IF(VALUE(I10)&gt;VALUE(LEFT(MAX(Table1[SN]),4)&amp;"-"&amp;MID(MAX(Table1[SN]),6,2)&amp;"-15"),"N/A",CONCATENATE(LEFT(BSnrb(intendedCompletionDate,"qtr"),5),VLOOKUP(BSnrb(intendedCompletionDate,"qtr"),Table1[],2)))</f>
        <v>2021.May/Jun</v>
      </c>
      <c r="K10" s="93"/>
      <c r="L10" s="85" cm="1">
        <f t="array" ref="L10">IF(VALUE(I10)&gt;VALUE(LEFT(MAX(Table1[SN]),4)&amp;"-"&amp;MID(MAX(Table1[SN]),6,2)&amp;"-15"),"N/A",BSnrb(intendedCompletionDate,"l"))</f>
        <v>515.84706404692679</v>
      </c>
      <c r="M10" s="85" cm="1">
        <f t="array" ref="M10">IF(VALUE(I10)&gt;VALUE(LEFT(MAX(Table1[SN]),4)&amp;"-"&amp;MID(MAX(Table1[SN]),6,2)&amp;"-15"),"N/A",BSnrb(intendedCompletionDate,"m"))</f>
        <v>111.89505</v>
      </c>
      <c r="N10" s="85" cm="1">
        <f t="array" ref="N10">IF(VALUE(I10)&gt;VALUE(LEFT(MAX(Table1[SN]),4)&amp;"-"&amp;MID(MAX(Table1[SN]),6,2)&amp;"-15"),"N/A",BSnrb(intendedCompletionDate,"n"))</f>
        <v>113.68747</v>
      </c>
      <c r="P10" s="46"/>
      <c r="AK10" s="24"/>
      <c r="AL10" s="24"/>
      <c r="AM10" s="24"/>
      <c r="AN10" s="24"/>
    </row>
    <row r="11" spans="1:40">
      <c r="A11" s="45" t="str" cm="1">
        <f t="array" ref="A11">CONCATENATE("(",BS2AD(A10)," AD)")</f>
        <v>(2019-4-14 AD)</v>
      </c>
      <c r="B11" s="45" t="str" cm="1">
        <f t="array" ref="B11">CONCATENATE("(",BS2AD(B10)," AD)")</f>
        <v>(2019-3-15 AD)</v>
      </c>
      <c r="G11" s="45" t="str" cm="1">
        <f t="array" ref="G11">CONCATENATE("(",BS2AD(G10)," AD)")</f>
        <v>(2019-6-16 AD)</v>
      </c>
      <c r="I11" s="41"/>
    </row>
    <row r="12" spans="1:40">
      <c r="A12" s="32"/>
      <c r="B12" s="45" t="str" cm="1">
        <f t="array" ref="B12">CONCATENATE("(",CONCATENATE(LEFT(BSnrb(B10,"qtr"),5),VLOOKUP(BSnrb(B10,"qtr"),Table1[],2)),")")</f>
        <v>(2019.Feb/Mar)</v>
      </c>
    </row>
    <row r="13" spans="1:40">
      <c r="A13" s="98" t="s">
        <v>45</v>
      </c>
      <c r="B13" s="98"/>
      <c r="C13" s="98"/>
      <c r="D13" s="98"/>
      <c r="E13" s="98"/>
      <c r="M13"/>
      <c r="O13" s="80"/>
    </row>
    <row r="14" spans="1:40" ht="30">
      <c r="A14" s="34" t="s">
        <v>103</v>
      </c>
      <c r="B14" s="34" t="s">
        <v>52</v>
      </c>
      <c r="C14" s="34" t="s">
        <v>53</v>
      </c>
      <c r="D14" s="34" t="s">
        <v>54</v>
      </c>
      <c r="E14" s="3" t="s">
        <v>46</v>
      </c>
    </row>
    <row r="15" spans="1:40">
      <c r="A15" s="30">
        <v>0.15</v>
      </c>
      <c r="B15" s="21">
        <v>0.25</v>
      </c>
      <c r="C15" s="21">
        <v>0.35</v>
      </c>
      <c r="D15" s="21">
        <v>0.25</v>
      </c>
      <c r="E15" s="30">
        <f>SUM(A15:D15)</f>
        <v>1</v>
      </c>
    </row>
    <row r="16" spans="1:40" ht="40.5" customHeight="1">
      <c r="I16" s="99" t="s">
        <v>51</v>
      </c>
      <c r="J16" s="99"/>
      <c r="K16" s="99"/>
      <c r="L16" s="25"/>
      <c r="M16" s="25"/>
      <c r="O16" s="46"/>
      <c r="R16" s="82"/>
      <c r="AK16" s="24"/>
      <c r="AL16" s="24"/>
      <c r="AM16" s="24"/>
      <c r="AN16" s="24"/>
    </row>
    <row r="17" spans="1:40" ht="36">
      <c r="A17" s="61" t="s">
        <v>50</v>
      </c>
      <c r="B17" s="62" t="s">
        <v>49</v>
      </c>
      <c r="C17" s="63" t="s">
        <v>76</v>
      </c>
      <c r="D17" s="62" t="s">
        <v>71</v>
      </c>
      <c r="E17" s="62" t="s">
        <v>77</v>
      </c>
      <c r="F17" s="64" t="s">
        <v>55</v>
      </c>
      <c r="G17" s="65" t="s">
        <v>92</v>
      </c>
      <c r="H17" s="62" t="s">
        <v>56</v>
      </c>
      <c r="I17" s="78" t="s">
        <v>99</v>
      </c>
      <c r="J17" s="78" t="s">
        <v>100</v>
      </c>
      <c r="K17" s="78" t="s">
        <v>101</v>
      </c>
      <c r="L17" s="79" t="s">
        <v>102</v>
      </c>
      <c r="M17" s="59" t="s">
        <v>47</v>
      </c>
      <c r="N17" s="66" t="s">
        <v>79</v>
      </c>
      <c r="O17" s="46"/>
      <c r="AK17" s="24"/>
      <c r="AL17" s="24"/>
      <c r="AM17" s="24"/>
      <c r="AN17" s="24"/>
    </row>
    <row r="18" spans="1:40">
      <c r="A18" s="67">
        <v>1</v>
      </c>
      <c r="B18" s="60" t="s">
        <v>89</v>
      </c>
      <c r="C18" s="40" t="str" cm="1">
        <f t="array" ref="C18">ad2bs(BS2AD(Table243[[#This Row],[IPC Submisstion
Date]])-30)</f>
        <v>2076-4-3</v>
      </c>
      <c r="D18" s="81" t="str" cm="1">
        <f t="array" ref="D18">BS2AD(Table243[[#This Row],[30 days prior to IPC Submission Date]])</f>
        <v>2019-7-19</v>
      </c>
      <c r="E18" s="44" t="str" cm="1">
        <f t="array" ref="E18">CONCATENATE(LEFT(BSnrb(Table243[[#This Row],[30 days prior to IPC Submission Date]],"qtr"),5),VLOOKUP(BSnrb(Table243[[#This Row],[30 days prior to IPC Submission Date]],"qtr"),Table1[],2))</f>
        <v>2019.Jul/Aug</v>
      </c>
      <c r="F18" s="54"/>
      <c r="G18" s="70"/>
      <c r="H18" s="53">
        <f>Table243[[#This Row],[IPC Amount]]-Table243[[#This Row],[Deduction for PS / Other]]</f>
        <v>0</v>
      </c>
      <c r="I18" s="30" cm="1">
        <f t="array" ref="I18">IFERROR(
IF(BS2AD(Table243[[#This Row],[30 days prior to IPC Submission Date]]) &lt; BS2AD(intendedCompletionDate),
BSnrb(Table243[[#This Row],[30 days prior to IPC Submission Date]],"l"),
BSnrb(intendedCompletionDate,"l")),
BSnrb(Table243[[#This Row],[30 days prior to IPC Submission Date]],"l"))</f>
        <v>494.830080854051</v>
      </c>
      <c r="J18" s="30" cm="1">
        <f t="array" ref="J18">IFERROR(
IF(BS2AD(Table243[[#This Row],[30 days prior to IPC Submission Date]]) &lt; BS2AD(intendedCompletionDate),
BSnrb(Table243[[#This Row],[30 days prior to IPC Submission Date]],"m"),
BSnrb(intendedCompletionDate,"m")),
BSnrb(Table243[[#This Row],[30 days prior to IPC Submission Date]],"m"))</f>
        <v>106.58741999999999</v>
      </c>
      <c r="K18" s="30" cm="1">
        <f t="array" ref="K18">IFERROR(
IF(BS2AD(Table243[[#This Row],[30 days prior to IPC Submission Date]]) &lt; BS2AD(intendedCompletionDate),
BSnrb(Table243[[#This Row],[30 days prior to IPC Submission Date]],"n"),
BSnrb(intendedCompletionDate,"n")),
BSnrb(Table243[[#This Row],[30 days prior to IPC Submission Date]],"n"))</f>
        <v>107.11339</v>
      </c>
      <c r="L18" s="43">
        <f>a+
b*Table243[[#This Row],[Ln]]/lo+
c_*Table243[[#This Row],[Mn]]/mo+
d*Table243[[#This Row],[En]]/no</f>
        <v>1.0150395959133847</v>
      </c>
      <c r="M18" s="69">
        <f>(Table243[[#This Row],[*Price Adj.
factor]]-1) * Table243[[#This Row],[IPC Amount
for Price Adj.]]</f>
        <v>0</v>
      </c>
      <c r="N18" s="52"/>
      <c r="O18" s="46"/>
      <c r="AK18" s="24"/>
      <c r="AL18" s="24"/>
      <c r="AM18" s="24"/>
      <c r="AN18" s="24"/>
    </row>
    <row r="19" spans="1:40">
      <c r="A19" s="67">
        <v>2</v>
      </c>
      <c r="B19" s="60" t="s">
        <v>90</v>
      </c>
      <c r="C19" s="40" t="str" cm="1">
        <f t="array" ref="C19">ad2bs(BS2AD(Table243[[#This Row],[IPC Submisstion
Date]])-30)</f>
        <v>2076-6-1</v>
      </c>
      <c r="D19" s="81" t="str" cm="1">
        <f t="array" ref="D19">BS2AD(Table243[[#This Row],[30 days prior to IPC Submission Date]])</f>
        <v>2019-9-18</v>
      </c>
      <c r="E19" s="44" t="str" cm="1">
        <f t="array" ref="E19">CONCATENATE(LEFT(BSnrb(Table243[[#This Row],[30 days prior to IPC Submission Date]],"qtr"),5),VLOOKUP(BSnrb(Table243[[#This Row],[30 days prior to IPC Submission Date]],"qtr"),Table1[],2))</f>
        <v>2019.Sep/Oct</v>
      </c>
      <c r="F19" s="54"/>
      <c r="G19" s="70"/>
      <c r="H19" s="53">
        <f>Table243[[#This Row],[IPC Amount]]-Table243[[#This Row],[Deduction for PS / Other]]</f>
        <v>0</v>
      </c>
      <c r="I19" s="30" cm="1">
        <f t="array" ref="I19">IFERROR(
IF(BS2AD(Table243[[#This Row],[30 days prior to IPC Submission Date]]) &lt; BS2AD(intendedCompletionDate),
BSnrb(Table243[[#This Row],[30 days prior to IPC Submission Date]],"l"),
BSnrb(intendedCompletionDate,"l")),
BSnrb(Table243[[#This Row],[30 days prior to IPC Submission Date]],"l"))</f>
        <v>495.3</v>
      </c>
      <c r="J19" s="30" cm="1">
        <f t="array" ref="J19">IFERROR(
IF(BS2AD(Table243[[#This Row],[30 days prior to IPC Submission Date]]) &lt; BS2AD(intendedCompletionDate),
BSnrb(Table243[[#This Row],[30 days prior to IPC Submission Date]],"m"),
BSnrb(intendedCompletionDate,"m")),
BSnrb(Table243[[#This Row],[30 days prior to IPC Submission Date]],"m"))</f>
        <v>105.85000599999999</v>
      </c>
      <c r="K19" s="30" cm="1">
        <f t="array" ref="K19">IFERROR(
IF(BS2AD(Table243[[#This Row],[30 days prior to IPC Submission Date]]) &lt; BS2AD(intendedCompletionDate),
BSnrb(Table243[[#This Row],[30 days prior to IPC Submission Date]],"n"),
BSnrb(intendedCompletionDate,"n")),
BSnrb(Table243[[#This Row],[30 days prior to IPC Submission Date]],"n"))</f>
        <v>107.11339</v>
      </c>
      <c r="L19" s="43">
        <f>a+
b*Table243[[#This Row],[Ln]]/lo+
c_*Table243[[#This Row],[Mn]]/mo+
d*Table243[[#This Row],[En]]/no</f>
        <v>1.0128798753450594</v>
      </c>
      <c r="M19" s="69">
        <f>(Table243[[#This Row],[*Price Adj.
factor]]-1) * Table243[[#This Row],[IPC Amount
for Price Adj.]]</f>
        <v>0</v>
      </c>
      <c r="N19" s="52"/>
      <c r="O19" s="46"/>
      <c r="AK19" s="24"/>
      <c r="AL19" s="24"/>
      <c r="AM19" s="24"/>
      <c r="AN19" s="24"/>
    </row>
    <row r="20" spans="1:40">
      <c r="A20" s="67">
        <v>3</v>
      </c>
      <c r="B20" s="60" t="s">
        <v>91</v>
      </c>
      <c r="C20" s="40" t="str" cm="1">
        <f t="array" ref="C20">ad2bs(BS2AD(Table243[[#This Row],[IPC Submisstion
Date]])-30)</f>
        <v>2076-8-1</v>
      </c>
      <c r="D20" s="81" t="str" cm="1">
        <f t="array" ref="D20">BS2AD(Table243[[#This Row],[30 days prior to IPC Submission Date]])</f>
        <v>2019-11-17</v>
      </c>
      <c r="E20" s="44" t="str" cm="1">
        <f t="array" ref="E20">CONCATENATE(LEFT(BSnrb(Table243[[#This Row],[30 days prior to IPC Submission Date]],"qtr"),5),VLOOKUP(BSnrb(Table243[[#This Row],[30 days prior to IPC Submission Date]],"qtr"),Table1[],2))</f>
        <v>2019.Nov/Dec</v>
      </c>
      <c r="F20" s="54"/>
      <c r="G20" s="70"/>
      <c r="H20" s="53">
        <f>Table243[[#This Row],[IPC Amount]]-Table243[[#This Row],[Deduction for PS / Other]]</f>
        <v>0</v>
      </c>
      <c r="I20" s="30" cm="1">
        <f t="array" ref="I20">IFERROR(
IF(BS2AD(Table243[[#This Row],[30 days prior to IPC Submission Date]]) &lt; BS2AD(intendedCompletionDate),
BSnrb(Table243[[#This Row],[30 days prior to IPC Submission Date]],"l"),
BSnrb(intendedCompletionDate,"l")),
BSnrb(Table243[[#This Row],[30 days prior to IPC Submission Date]],"l"))</f>
        <v>500.8381542398198</v>
      </c>
      <c r="J20" s="30" cm="1">
        <f t="array" ref="J20">IFERROR(
IF(BS2AD(Table243[[#This Row],[30 days prior to IPC Submission Date]]) &lt; BS2AD(intendedCompletionDate),
BSnrb(Table243[[#This Row],[30 days prior to IPC Submission Date]],"m"),
BSnrb(intendedCompletionDate,"m")),
BSnrb(Table243[[#This Row],[30 days prior to IPC Submission Date]],"m"))</f>
        <v>102.328766</v>
      </c>
      <c r="K20" s="30" cm="1">
        <f t="array" ref="K20">IFERROR(
IF(BS2AD(Table243[[#This Row],[30 days prior to IPC Submission Date]]) &lt; BS2AD(intendedCompletionDate),
BSnrb(Table243[[#This Row],[30 days prior to IPC Submission Date]],"n"),
BSnrb(intendedCompletionDate,"n")),
BSnrb(Table243[[#This Row],[30 days prior to IPC Submission Date]],"n"))</f>
        <v>107.387505</v>
      </c>
      <c r="L20" s="43">
        <f>a+
b*Table243[[#This Row],[Ln]]/lo+
c_*Table243[[#This Row],[Mn]]/mo+
d*Table243[[#This Row],[En]]/no</f>
        <v>1.004958255756693</v>
      </c>
      <c r="M20" s="69">
        <f>(Table243[[#This Row],[*Price Adj.
factor]]-1) * Table243[[#This Row],[IPC Amount
for Price Adj.]]</f>
        <v>0</v>
      </c>
      <c r="N20" s="52"/>
      <c r="O20" s="46"/>
      <c r="AK20" s="24"/>
      <c r="AL20" s="24"/>
    </row>
    <row r="21" spans="1:40">
      <c r="A21" s="35"/>
      <c r="B21" s="35"/>
      <c r="C21" s="35"/>
      <c r="D21" s="71"/>
      <c r="E21" s="71"/>
      <c r="F21" s="37">
        <f>SUBTOTAL(109,Table243[IPC Amount])</f>
        <v>0</v>
      </c>
      <c r="G21" s="77">
        <f>SUBTOTAL(109,Table243[Deduction for PS / Other])</f>
        <v>0</v>
      </c>
      <c r="H21" s="35">
        <f>SUBTOTAL(109,Table243[IPC Amount
for Price Adj.])</f>
        <v>0</v>
      </c>
      <c r="I21" s="35"/>
      <c r="J21" s="35"/>
      <c r="K21" s="35"/>
      <c r="L21" s="36" t="s">
        <v>46</v>
      </c>
      <c r="M21" s="72">
        <f>SUBTOTAL(109,Table243[Net Price Adj.
Amount])</f>
        <v>0</v>
      </c>
      <c r="N21" s="73"/>
    </row>
    <row r="22" spans="1:40" ht="15.75" thickBot="1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86" t="s">
        <v>57</v>
      </c>
      <c r="M22" s="87">
        <f>Table243[[#Totals],[Net Price Adj.
Amount]]*0.13</f>
        <v>0</v>
      </c>
    </row>
    <row r="23" spans="1:40" ht="15.75" thickTop="1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6" t="s">
        <v>58</v>
      </c>
      <c r="M23" s="35">
        <f>Table243[[#Totals],[Net Price Adj.
Amount]]+VAT</f>
        <v>0</v>
      </c>
    </row>
    <row r="24" spans="1:40">
      <c r="A24" s="35"/>
      <c r="B24" s="35"/>
      <c r="C24" s="35"/>
      <c r="D24" s="35"/>
      <c r="E24" s="35"/>
      <c r="F24" s="35"/>
      <c r="G24" s="35"/>
      <c r="H24" s="37"/>
      <c r="I24" s="35"/>
    </row>
    <row r="25" spans="1:40">
      <c r="A25" s="35"/>
      <c r="B25" s="35"/>
      <c r="C25" s="35"/>
      <c r="D25" s="35"/>
      <c r="E25" s="35"/>
      <c r="F25" s="56"/>
      <c r="G25" s="35"/>
      <c r="H25" s="37"/>
      <c r="I25" s="35"/>
    </row>
    <row r="26" spans="1:40">
      <c r="A26" s="57" t="s">
        <v>74</v>
      </c>
      <c r="B26" s="57"/>
      <c r="C26" s="57"/>
      <c r="D26" s="57"/>
      <c r="E26" s="57"/>
      <c r="F26" s="57"/>
      <c r="G26" s="57"/>
      <c r="H26" s="57"/>
      <c r="I26" s="57"/>
      <c r="J26" s="57"/>
    </row>
    <row r="27" spans="1:40">
      <c r="A27" s="58" t="s">
        <v>72</v>
      </c>
      <c r="B27" s="58"/>
      <c r="C27" s="58"/>
      <c r="D27" s="58"/>
      <c r="E27" s="58"/>
      <c r="F27" s="58"/>
      <c r="G27" s="58"/>
      <c r="H27" s="58"/>
      <c r="I27" s="58"/>
      <c r="J27" s="58"/>
    </row>
    <row r="28" spans="1:40">
      <c r="A28" s="58" t="s">
        <v>73</v>
      </c>
      <c r="B28" s="58"/>
      <c r="C28" s="58"/>
      <c r="D28" s="58"/>
      <c r="E28" s="58"/>
      <c r="F28" s="58"/>
      <c r="G28" s="58"/>
      <c r="H28" s="58"/>
      <c r="I28" s="58"/>
      <c r="J28" s="58"/>
    </row>
    <row r="31" spans="1:40" ht="28.5">
      <c r="A31" s="97" t="s">
        <v>75</v>
      </c>
      <c r="B31" s="97"/>
      <c r="C31" s="97"/>
      <c r="D31" s="97"/>
      <c r="E31" s="97"/>
      <c r="F31" s="97"/>
      <c r="G31" s="97"/>
      <c r="H31" s="97"/>
      <c r="I31" s="97"/>
    </row>
    <row r="32" spans="1:40">
      <c r="A32" s="38" t="s">
        <v>110</v>
      </c>
    </row>
    <row r="35" spans="6:8">
      <c r="F35" s="68"/>
      <c r="G35" s="68"/>
      <c r="H35" s="68"/>
    </row>
    <row r="36" spans="6:8">
      <c r="F36" s="68"/>
      <c r="G36" s="68"/>
      <c r="H36" s="68"/>
    </row>
    <row r="37" spans="6:8">
      <c r="F37" s="68"/>
      <c r="G37" s="68"/>
      <c r="H37" s="68"/>
    </row>
    <row r="38" spans="6:8">
      <c r="F38" s="68"/>
      <c r="G38" s="68"/>
      <c r="H38" s="68"/>
    </row>
    <row r="39" spans="6:8">
      <c r="F39" s="68"/>
      <c r="G39" s="68"/>
      <c r="H39" s="68"/>
    </row>
    <row r="40" spans="6:8">
      <c r="F40" s="68"/>
      <c r="G40" s="68"/>
      <c r="H40" s="68"/>
    </row>
    <row r="41" spans="6:8">
      <c r="F41" s="68"/>
      <c r="G41" s="68"/>
      <c r="H41" s="68"/>
    </row>
    <row r="97" spans="1:2">
      <c r="A97" s="33"/>
    </row>
    <row r="99" spans="1:2">
      <c r="B99" s="33"/>
    </row>
    <row r="100" spans="1:2">
      <c r="B100" s="33"/>
    </row>
  </sheetData>
  <mergeCells count="17">
    <mergeCell ref="A31:I31"/>
    <mergeCell ref="A13:E13"/>
    <mergeCell ref="I16:K16"/>
    <mergeCell ref="A8:A9"/>
    <mergeCell ref="C8:E8"/>
    <mergeCell ref="B8:B9"/>
    <mergeCell ref="J8:K9"/>
    <mergeCell ref="G8:G9"/>
    <mergeCell ref="H8:H9"/>
    <mergeCell ref="I8:I9"/>
    <mergeCell ref="A1:N1"/>
    <mergeCell ref="B3:N3"/>
    <mergeCell ref="B5:N5"/>
    <mergeCell ref="B6:N6"/>
    <mergeCell ref="J10:K10"/>
    <mergeCell ref="L8:N8"/>
    <mergeCell ref="B4:N4"/>
  </mergeCells>
  <conditionalFormatting sqref="I24:I25 M18:M23">
    <cfRule type="cellIs" dxfId="60" priority="2" operator="lessThan">
      <formula>0</formula>
    </cfRule>
  </conditionalFormatting>
  <printOptions horizontalCentered="1"/>
  <pageMargins left="0.23622047244094499" right="0.23622047244094499" top="0.74803149606299202" bottom="0.74803149606299202" header="0.31496062992126" footer="0.31496062992126"/>
  <pageSetup paperSize="9" scale="80" orientation="landscape" blackAndWhite="1" horizontalDpi="1200" verticalDpi="12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AJ9"/>
  <sheetViews>
    <sheetView showGridLines="0" zoomScaleNormal="100" zoomScaleSheetLayoutView="100" workbookViewId="0">
      <selection activeCell="A8" sqref="A8"/>
    </sheetView>
  </sheetViews>
  <sheetFormatPr defaultRowHeight="15"/>
  <cols>
    <col min="1" max="1" width="47.5703125" customWidth="1"/>
    <col min="2" max="2" width="17.5703125" bestFit="1" customWidth="1"/>
    <col min="3" max="3" width="19.7109375" bestFit="1" customWidth="1"/>
    <col min="4" max="4" width="18.5703125" bestFit="1" customWidth="1"/>
    <col min="5" max="5" width="20.85546875" customWidth="1"/>
    <col min="6" max="6" width="20.42578125" customWidth="1"/>
    <col min="7" max="7" width="14.42578125" bestFit="1" customWidth="1"/>
    <col min="8" max="8" width="19.85546875" bestFit="1" customWidth="1"/>
  </cols>
  <sheetData>
    <row r="1" spans="1:36" s="1" customFormat="1" ht="36">
      <c r="A1" s="110" t="s">
        <v>109</v>
      </c>
      <c r="B1" s="110"/>
      <c r="C1" s="110"/>
      <c r="D1" s="110"/>
      <c r="E1" s="110"/>
      <c r="F1" s="110"/>
      <c r="G1" s="110"/>
      <c r="H1" s="8"/>
      <c r="I1" s="8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</row>
    <row r="2" spans="1:36" s="1" customFormat="1" ht="36.75" customHeight="1">
      <c r="A2" s="10"/>
      <c r="B2" s="10"/>
      <c r="C2" s="10"/>
      <c r="D2" s="10"/>
      <c r="E2" s="10"/>
      <c r="F2" s="2"/>
      <c r="G2" s="2"/>
      <c r="H2" s="2"/>
      <c r="I2" s="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</row>
    <row r="3" spans="1:36" ht="18.75">
      <c r="A3" s="11" t="s">
        <v>60</v>
      </c>
      <c r="B3" s="49" t="str">
        <f ca="1">ad2bs(TODAY())</f>
        <v>2080-2-19</v>
      </c>
      <c r="C3" s="48" t="str" cm="1">
        <f t="array" aca="1" ref="C3" ca="1">CONCATENATE("(",BS2AD(presentDate)," AD)")</f>
        <v>(2023-6-2 AD)</v>
      </c>
      <c r="D3" s="9"/>
      <c r="E3" s="9"/>
    </row>
    <row r="4" spans="1:36" ht="18.75">
      <c r="A4" s="12" t="s">
        <v>78</v>
      </c>
      <c r="B4" s="13" t="str" cm="1">
        <f t="array" aca="1" ref="B4" ca="1">CONCATENATE(LEFT(BSnrb(presentDate,"qtr"),5),VLOOKUP(BSnrb(presentDate,"qtr"),Table1[],2,FALSE))</f>
        <v>2023.Mar/Apr</v>
      </c>
      <c r="C4" s="9"/>
      <c r="D4" s="9"/>
      <c r="E4" s="9"/>
    </row>
    <row r="5" spans="1:36" ht="37.5">
      <c r="A5" s="12" t="s">
        <v>62</v>
      </c>
      <c r="B5" s="13">
        <f ca="1">BSnrb(presentDate,"o")</f>
        <v>144.92174</v>
      </c>
      <c r="C5" s="9"/>
      <c r="D5" s="9"/>
      <c r="E5" s="9"/>
    </row>
    <row r="6" spans="1:36" ht="18.75">
      <c r="A6" s="9"/>
      <c r="B6" s="9"/>
      <c r="C6" s="9"/>
      <c r="D6" s="9"/>
      <c r="E6" s="9"/>
    </row>
    <row r="7" spans="1:36" ht="75">
      <c r="A7" s="17" t="s">
        <v>61</v>
      </c>
      <c r="B7" s="18" t="s">
        <v>63</v>
      </c>
      <c r="C7" s="18" t="s">
        <v>71</v>
      </c>
      <c r="D7" s="18" t="s">
        <v>77</v>
      </c>
      <c r="E7" s="19" t="s">
        <v>64</v>
      </c>
      <c r="F7" s="19" t="s">
        <v>65</v>
      </c>
      <c r="G7" s="20" t="s">
        <v>93</v>
      </c>
      <c r="H7" s="20" t="s">
        <v>66</v>
      </c>
    </row>
    <row r="8" spans="1:36" ht="18.75">
      <c r="A8" s="22" t="s">
        <v>68</v>
      </c>
      <c r="B8" s="23" t="s">
        <v>67</v>
      </c>
      <c r="C8" s="47" t="str" cm="1">
        <f t="array" ref="C8">BS2AD(projectTable[[#This Row],[Actual Date
of Completion]])</f>
        <v>2018-4-14</v>
      </c>
      <c r="D8" s="47" t="str" cm="1">
        <f t="array" ref="D8">CONCATENATE(LEFT(BSnrb(projectTable[[#This Row],[Actual Date
of Completion]],"qtr"),5),VLOOKUP(BSnrb(projectTable[[#This Row],[Actual Date
of Completion]],"qtr"),Table1[],2,FALSE))</f>
        <v>2018.Mar/Apr</v>
      </c>
      <c r="E8" s="14">
        <f>BSnrb(projectTable[[#This Row],[Actual Date
of Completion]],"o")</f>
        <v>100.45525221079566</v>
      </c>
      <c r="F8" s="15">
        <v>10000000</v>
      </c>
      <c r="G8" s="76">
        <f ca="1">presentIndex/projectTable[[#This Row],[National Wholesale
Price Index (overall)]]</f>
        <v>1.4426497053224823</v>
      </c>
      <c r="H8" s="16">
        <f ca="1">projectTable[[#This Row],[Amount Paid on
Completion (w/o VAT)]]*projectTable[[#This Row],[Multplying Factor]]</f>
        <v>14426497.053224823</v>
      </c>
    </row>
    <row r="9" spans="1:36" ht="18.75">
      <c r="A9" s="22" t="s">
        <v>94</v>
      </c>
      <c r="B9" s="23" t="s">
        <v>95</v>
      </c>
      <c r="C9" s="74" t="str" cm="1">
        <f t="array" ref="C9">BS2AD(projectTable[[#This Row],[Actual Date
of Completion]])</f>
        <v>2019-12-25</v>
      </c>
      <c r="D9" s="75" t="str" cm="1">
        <f t="array" ref="D9">CONCATENATE(LEFT(BSnrb(projectTable[[#This Row],[Actual Date
of Completion]],"qtr"),5),VLOOKUP(BSnrb(projectTable[[#This Row],[Actual Date
of Completion]],"qtr"),Table1[],2,FALSE))</f>
        <v>2020.Dec/Jan</v>
      </c>
      <c r="E9" s="14">
        <f>BSnrb(projectTable[[#This Row],[Actual Date
of Completion]],"o")</f>
        <v>112.83998</v>
      </c>
      <c r="F9" s="15">
        <v>20000000</v>
      </c>
      <c r="G9" s="76">
        <f ca="1">presentIndex/projectTable[[#This Row],[National Wholesale
Price Index (overall)]]</f>
        <v>1.2843119965104568</v>
      </c>
      <c r="H9" s="16">
        <f ca="1">projectTable[[#This Row],[Amount Paid on
Completion (w/o VAT)]]*projectTable[[#This Row],[Multplying Factor]]</f>
        <v>25686239.930209137</v>
      </c>
    </row>
  </sheetData>
  <mergeCells count="1">
    <mergeCell ref="A1:G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0" fitToHeight="0" orientation="landscape" blackAndWhite="1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N132"/>
  <sheetViews>
    <sheetView topLeftCell="A117" zoomScaleNormal="100" workbookViewId="0">
      <selection activeCell="I132" sqref="I132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6" width="12.85546875" customWidth="1"/>
    <col min="7" max="7" width="10" bestFit="1" customWidth="1"/>
    <col min="10" max="10" width="5.42578125" customWidth="1"/>
  </cols>
  <sheetData>
    <row r="1" spans="1:6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59</v>
      </c>
    </row>
    <row r="2" spans="1:6">
      <c r="A2" s="5">
        <v>1999</v>
      </c>
      <c r="B2" t="s">
        <v>5</v>
      </c>
      <c r="C2" s="4"/>
      <c r="D2" s="4">
        <v>30.8</v>
      </c>
      <c r="E2" s="4">
        <v>39.1</v>
      </c>
      <c r="F2" s="4">
        <v>30.40408683893525</v>
      </c>
    </row>
    <row r="3" spans="1:6">
      <c r="A3" s="5">
        <v>2000</v>
      </c>
      <c r="B3" t="s">
        <v>31</v>
      </c>
      <c r="C3" s="4"/>
      <c r="D3" s="4">
        <v>31.9</v>
      </c>
      <c r="E3" s="4">
        <v>40</v>
      </c>
      <c r="F3" s="4">
        <v>30.80609708889444</v>
      </c>
    </row>
    <row r="4" spans="1:6">
      <c r="A4" s="5">
        <v>2001</v>
      </c>
      <c r="B4" t="s">
        <v>32</v>
      </c>
      <c r="C4" s="4"/>
      <c r="D4" s="4">
        <v>33.5</v>
      </c>
      <c r="E4" s="4">
        <v>39.799999999999997</v>
      </c>
      <c r="F4" s="4">
        <v>32.299114651615426</v>
      </c>
    </row>
    <row r="5" spans="1:6">
      <c r="A5" s="5">
        <v>2002</v>
      </c>
      <c r="B5" t="s">
        <v>33</v>
      </c>
      <c r="C5" s="4"/>
      <c r="D5" s="4">
        <v>33.700000000000003</v>
      </c>
      <c r="E5" s="4">
        <v>39.799999999999997</v>
      </c>
      <c r="F5" s="4">
        <v>33.536310248435754</v>
      </c>
    </row>
    <row r="6" spans="1:6">
      <c r="A6" s="5">
        <v>2003</v>
      </c>
      <c r="B6" t="s">
        <v>34</v>
      </c>
      <c r="C6" s="4"/>
      <c r="D6" s="4">
        <v>38.9</v>
      </c>
      <c r="E6" s="4">
        <v>42</v>
      </c>
      <c r="F6" s="4">
        <v>34.904150720044171</v>
      </c>
    </row>
    <row r="7" spans="1:6">
      <c r="A7" s="5">
        <v>2004</v>
      </c>
      <c r="B7" t="s">
        <v>35</v>
      </c>
      <c r="C7" s="4">
        <v>100</v>
      </c>
      <c r="D7" s="4">
        <v>44.9</v>
      </c>
      <c r="E7" s="4">
        <v>46.2</v>
      </c>
      <c r="F7" s="4">
        <v>37.456720726569259</v>
      </c>
    </row>
    <row r="8" spans="1:6">
      <c r="A8" s="5">
        <v>2005</v>
      </c>
      <c r="B8" t="s">
        <v>36</v>
      </c>
      <c r="C8" s="4">
        <v>101.3</v>
      </c>
      <c r="D8" s="4">
        <v>45.8</v>
      </c>
      <c r="E8" s="4">
        <v>49.3</v>
      </c>
      <c r="F8" s="4">
        <v>40.781894356022164</v>
      </c>
    </row>
    <row r="9" spans="1:6">
      <c r="A9" s="5">
        <v>2006</v>
      </c>
      <c r="B9" t="s">
        <v>37</v>
      </c>
      <c r="C9" s="4">
        <v>109.1</v>
      </c>
      <c r="D9" s="4">
        <v>53</v>
      </c>
      <c r="E9" s="4">
        <v>50.8</v>
      </c>
      <c r="F9" s="4">
        <v>44.456753912476529</v>
      </c>
    </row>
    <row r="10" spans="1:6">
      <c r="A10" s="5">
        <v>2007</v>
      </c>
      <c r="B10" t="s">
        <v>38</v>
      </c>
      <c r="C10" s="4">
        <v>120.2</v>
      </c>
      <c r="D10" s="4">
        <v>60.4</v>
      </c>
      <c r="E10" s="4">
        <v>55.4</v>
      </c>
      <c r="F10" s="4">
        <v>48.439113275770872</v>
      </c>
    </row>
    <row r="11" spans="1:6">
      <c r="A11" s="5">
        <v>2008</v>
      </c>
      <c r="B11" t="s">
        <v>39</v>
      </c>
      <c r="C11" s="4">
        <v>138.6</v>
      </c>
      <c r="D11" s="4">
        <v>67</v>
      </c>
      <c r="E11" s="4">
        <v>66.599999999999994</v>
      </c>
      <c r="F11" s="4">
        <v>54.942143645253957</v>
      </c>
    </row>
    <row r="12" spans="1:6">
      <c r="A12" s="5">
        <v>2009</v>
      </c>
      <c r="B12" t="s">
        <v>40</v>
      </c>
      <c r="C12" s="4">
        <v>156.6</v>
      </c>
      <c r="D12" s="4">
        <v>69.7</v>
      </c>
      <c r="E12" s="4">
        <v>65.099999999999994</v>
      </c>
      <c r="F12" s="4">
        <v>61.600653521973008</v>
      </c>
    </row>
    <row r="13" spans="1:6">
      <c r="A13" s="5">
        <v>2010</v>
      </c>
      <c r="B13" t="s">
        <v>41</v>
      </c>
      <c r="C13" s="4">
        <v>189.9</v>
      </c>
      <c r="D13" s="4">
        <v>73.3</v>
      </c>
      <c r="E13" s="4">
        <v>68</v>
      </c>
      <c r="F13" s="4">
        <v>67.652474049928202</v>
      </c>
    </row>
    <row r="14" spans="1:6">
      <c r="A14" s="5">
        <v>2011</v>
      </c>
      <c r="B14" t="s">
        <v>42</v>
      </c>
      <c r="C14" s="4">
        <v>250.3</v>
      </c>
      <c r="D14" s="4">
        <v>77.400000000000006</v>
      </c>
      <c r="E14" s="4">
        <v>75.599999999999994</v>
      </c>
      <c r="F14" s="4">
        <v>72.049973761253923</v>
      </c>
    </row>
    <row r="15" spans="1:6">
      <c r="A15" s="5">
        <v>2012</v>
      </c>
      <c r="B15" t="s">
        <v>6</v>
      </c>
      <c r="C15" s="4">
        <v>268.10000000000002</v>
      </c>
      <c r="D15" s="4">
        <v>80.7</v>
      </c>
      <c r="E15" s="4">
        <v>77</v>
      </c>
      <c r="F15" s="4">
        <v>78.484789553478151</v>
      </c>
    </row>
    <row r="16" spans="1:6">
      <c r="A16" s="5">
        <v>2013</v>
      </c>
      <c r="B16" t="s">
        <v>7</v>
      </c>
      <c r="C16" s="4">
        <v>285.89999999999998</v>
      </c>
      <c r="D16" s="4">
        <v>85.2</v>
      </c>
      <c r="E16" s="4">
        <v>75.900000000000006</v>
      </c>
      <c r="F16" s="4">
        <v>85.011963843581356</v>
      </c>
    </row>
    <row r="17" spans="1:6">
      <c r="A17" s="5">
        <v>2014</v>
      </c>
      <c r="B17" t="s">
        <v>8</v>
      </c>
      <c r="C17" s="4">
        <v>322.89999999999998</v>
      </c>
      <c r="D17" s="4">
        <v>89</v>
      </c>
      <c r="E17" s="4">
        <v>76.400000000000006</v>
      </c>
      <c r="F17" s="4">
        <v>90.139635351887236</v>
      </c>
    </row>
    <row r="18" spans="1:6">
      <c r="A18" s="5">
        <v>2015</v>
      </c>
      <c r="B18" t="s">
        <v>9</v>
      </c>
      <c r="C18" s="4">
        <v>354.1</v>
      </c>
      <c r="D18" s="4">
        <v>91.3</v>
      </c>
      <c r="E18" s="4">
        <v>82</v>
      </c>
      <c r="F18" s="4">
        <v>95.792244445884805</v>
      </c>
    </row>
    <row r="19" spans="1:6">
      <c r="A19" s="5">
        <v>2016</v>
      </c>
      <c r="B19" t="s">
        <v>10</v>
      </c>
      <c r="C19" s="4">
        <v>405.7</v>
      </c>
      <c r="D19" s="4">
        <v>90.3</v>
      </c>
      <c r="E19" s="4">
        <v>97</v>
      </c>
      <c r="F19" s="4">
        <v>98.296530571895929</v>
      </c>
    </row>
    <row r="20" spans="1:6">
      <c r="A20" s="4"/>
      <c r="B20" t="s">
        <v>11</v>
      </c>
      <c r="C20" s="4">
        <v>403.3</v>
      </c>
      <c r="D20" s="4">
        <v>88.4</v>
      </c>
      <c r="E20" s="4">
        <v>90.5</v>
      </c>
      <c r="F20" s="4">
        <v>97.5</v>
      </c>
    </row>
    <row r="21" spans="1:6">
      <c r="A21" s="4">
        <v>2016.08</v>
      </c>
      <c r="B21" t="s">
        <v>12</v>
      </c>
      <c r="C21" s="4">
        <v>403.3</v>
      </c>
      <c r="D21" s="4">
        <v>88.8</v>
      </c>
      <c r="E21" s="4">
        <v>89.3</v>
      </c>
      <c r="F21" s="4">
        <v>98</v>
      </c>
    </row>
    <row r="22" spans="1:6">
      <c r="A22" s="4">
        <v>2016.09</v>
      </c>
      <c r="B22" t="s">
        <v>13</v>
      </c>
      <c r="C22" s="4">
        <v>403.3</v>
      </c>
      <c r="D22" s="4">
        <v>88.4</v>
      </c>
      <c r="E22" s="4">
        <v>91.6</v>
      </c>
      <c r="F22" s="4">
        <v>97.3</v>
      </c>
    </row>
    <row r="23" spans="1:6">
      <c r="A23" s="4">
        <v>2016.1</v>
      </c>
      <c r="B23" t="s">
        <v>14</v>
      </c>
      <c r="C23" s="4">
        <v>403.3</v>
      </c>
      <c r="D23" s="4">
        <v>87.9</v>
      </c>
      <c r="E23" s="4">
        <v>90.6</v>
      </c>
      <c r="F23" s="4">
        <v>97.2</v>
      </c>
    </row>
    <row r="24" spans="1:6">
      <c r="A24" s="4"/>
      <c r="B24" t="s">
        <v>15</v>
      </c>
      <c r="C24" s="4">
        <v>403.8</v>
      </c>
      <c r="D24" s="4">
        <v>89.5</v>
      </c>
      <c r="E24" s="4">
        <v>96.4</v>
      </c>
      <c r="F24" s="4">
        <v>97.2</v>
      </c>
    </row>
    <row r="25" spans="1:6">
      <c r="A25" s="4">
        <v>2016.11</v>
      </c>
      <c r="B25" t="s">
        <v>16</v>
      </c>
      <c r="C25" s="4">
        <v>403.3</v>
      </c>
      <c r="D25" s="4">
        <v>89</v>
      </c>
      <c r="E25" s="4">
        <v>91.6</v>
      </c>
      <c r="F25" s="4">
        <v>98.7</v>
      </c>
    </row>
    <row r="26" spans="1:6">
      <c r="A26" s="4">
        <v>2016.12</v>
      </c>
      <c r="B26" t="s">
        <v>17</v>
      </c>
      <c r="C26" s="4">
        <v>403.3</v>
      </c>
      <c r="D26" s="4">
        <v>92.1</v>
      </c>
      <c r="E26" s="4">
        <v>98.5</v>
      </c>
      <c r="F26" s="4">
        <v>96.2</v>
      </c>
    </row>
    <row r="27" spans="1:6">
      <c r="A27" s="4">
        <v>2017.01</v>
      </c>
      <c r="B27" t="s">
        <v>18</v>
      </c>
      <c r="C27" s="4">
        <v>404.8</v>
      </c>
      <c r="D27" s="4">
        <v>87.4</v>
      </c>
      <c r="E27" s="4">
        <v>99.2</v>
      </c>
      <c r="F27" s="4">
        <v>96.7</v>
      </c>
    </row>
    <row r="28" spans="1:6">
      <c r="A28" s="4"/>
      <c r="B28" t="s">
        <v>19</v>
      </c>
      <c r="C28" s="4">
        <v>405.1</v>
      </c>
      <c r="D28" s="4">
        <v>90.1</v>
      </c>
      <c r="E28" s="4">
        <v>100.1</v>
      </c>
      <c r="F28" s="4">
        <v>97.6</v>
      </c>
    </row>
    <row r="29" spans="1:6">
      <c r="A29" s="4">
        <v>2017.02</v>
      </c>
      <c r="B29" t="s">
        <v>20</v>
      </c>
      <c r="C29" s="4">
        <v>404.8</v>
      </c>
      <c r="D29" s="4">
        <v>89.8</v>
      </c>
      <c r="E29" s="4">
        <v>99.9</v>
      </c>
      <c r="F29" s="4">
        <v>97</v>
      </c>
    </row>
    <row r="30" spans="1:6">
      <c r="A30" s="4">
        <v>2017.03</v>
      </c>
      <c r="B30" t="s">
        <v>21</v>
      </c>
      <c r="C30" s="4">
        <v>404.8</v>
      </c>
      <c r="D30" s="4">
        <v>91</v>
      </c>
      <c r="E30" s="4">
        <v>99.9</v>
      </c>
      <c r="F30" s="4">
        <v>97.6</v>
      </c>
    </row>
    <row r="31" spans="1:6">
      <c r="A31" s="4">
        <v>2017.04</v>
      </c>
      <c r="B31" t="s">
        <v>22</v>
      </c>
      <c r="C31" s="4">
        <v>405.6</v>
      </c>
      <c r="D31" s="4">
        <v>89.6</v>
      </c>
      <c r="E31" s="4">
        <v>100.6</v>
      </c>
      <c r="F31" s="4">
        <v>98.3</v>
      </c>
    </row>
    <row r="32" spans="1:6">
      <c r="A32" s="4"/>
      <c r="B32" t="s">
        <v>23</v>
      </c>
      <c r="C32" s="4">
        <v>410.6</v>
      </c>
      <c r="D32" s="4">
        <v>93.4</v>
      </c>
      <c r="E32" s="4">
        <v>100.9</v>
      </c>
      <c r="F32" s="4">
        <v>100.8</v>
      </c>
    </row>
    <row r="33" spans="1:11">
      <c r="A33" s="4">
        <v>2017.05</v>
      </c>
      <c r="B33" t="s">
        <v>24</v>
      </c>
      <c r="C33" s="4">
        <v>408.6</v>
      </c>
      <c r="D33" s="4">
        <v>92.3</v>
      </c>
      <c r="E33" s="4">
        <v>100.9</v>
      </c>
      <c r="F33" s="4">
        <v>99.6</v>
      </c>
    </row>
    <row r="34" spans="1:11">
      <c r="A34" s="4">
        <v>2017.06</v>
      </c>
      <c r="B34" t="s">
        <v>25</v>
      </c>
      <c r="C34" s="4">
        <v>411.7</v>
      </c>
      <c r="D34" s="4">
        <v>92.7</v>
      </c>
      <c r="E34" s="4">
        <v>100.9</v>
      </c>
      <c r="F34" s="4">
        <v>101.2</v>
      </c>
    </row>
    <row r="35" spans="1:11">
      <c r="A35" s="4">
        <v>2017.07</v>
      </c>
      <c r="B35" t="s">
        <v>26</v>
      </c>
      <c r="C35" s="4">
        <v>411.6</v>
      </c>
      <c r="D35" s="4">
        <v>95.1</v>
      </c>
      <c r="E35" s="4">
        <v>100.9</v>
      </c>
      <c r="F35" s="4">
        <v>101.6</v>
      </c>
    </row>
    <row r="36" spans="1:11">
      <c r="A36" s="4"/>
      <c r="B36" t="s">
        <v>27</v>
      </c>
      <c r="C36" s="4">
        <v>426.7</v>
      </c>
      <c r="D36" s="4">
        <v>100.00000000000003</v>
      </c>
      <c r="E36" s="4">
        <v>100.00000000000001</v>
      </c>
      <c r="F36" s="4">
        <v>100</v>
      </c>
      <c r="K36" s="7"/>
    </row>
    <row r="37" spans="1:11">
      <c r="A37" s="4"/>
      <c r="B37" t="s">
        <v>11</v>
      </c>
      <c r="C37" s="4">
        <v>413.16666666666669</v>
      </c>
      <c r="D37" s="4">
        <v>94.129428279290323</v>
      </c>
      <c r="E37" s="4">
        <v>99.174820390091881</v>
      </c>
      <c r="F37" s="4">
        <v>98.869456231420358</v>
      </c>
      <c r="K37" s="7"/>
    </row>
    <row r="38" spans="1:11">
      <c r="A38" s="4">
        <v>2017.08</v>
      </c>
      <c r="B38" t="s">
        <v>12</v>
      </c>
      <c r="C38" s="4">
        <v>411.7</v>
      </c>
      <c r="D38" s="4">
        <v>94.164481961779472</v>
      </c>
      <c r="E38" s="4">
        <v>99.174820390091881</v>
      </c>
      <c r="F38" s="4">
        <v>99.135729899193805</v>
      </c>
      <c r="K38" s="7"/>
    </row>
    <row r="39" spans="1:11">
      <c r="A39" s="4">
        <v>2017.09</v>
      </c>
      <c r="B39" t="s">
        <v>13</v>
      </c>
      <c r="C39" s="4">
        <v>411.7</v>
      </c>
      <c r="D39" s="4">
        <v>94.164481961779472</v>
      </c>
      <c r="E39" s="4">
        <v>99.174820390091881</v>
      </c>
      <c r="F39" s="4">
        <v>98.764655130720115</v>
      </c>
      <c r="K39" s="7"/>
    </row>
    <row r="40" spans="1:11">
      <c r="A40" s="4">
        <v>2017.1</v>
      </c>
      <c r="B40" t="s">
        <v>14</v>
      </c>
      <c r="C40" s="4">
        <v>416.1</v>
      </c>
      <c r="D40" s="4">
        <v>94.059320914312039</v>
      </c>
      <c r="E40" s="4">
        <v>99.174820390091881</v>
      </c>
      <c r="F40" s="4">
        <v>98.70798366434714</v>
      </c>
      <c r="K40" s="7"/>
    </row>
    <row r="41" spans="1:11">
      <c r="A41" s="4"/>
      <c r="B41" t="s">
        <v>15</v>
      </c>
      <c r="C41" s="4">
        <v>416.4666666666667</v>
      </c>
      <c r="D41" s="4">
        <v>96.441024112686407</v>
      </c>
      <c r="E41" s="4">
        <v>99.531924976369211</v>
      </c>
      <c r="F41" s="4">
        <v>98.703783854600275</v>
      </c>
      <c r="K41" s="7"/>
    </row>
    <row r="42" spans="1:11">
      <c r="A42" s="4">
        <v>2017.11</v>
      </c>
      <c r="B42" t="s">
        <v>16</v>
      </c>
      <c r="C42" s="4">
        <v>416.1</v>
      </c>
      <c r="D42" s="4">
        <v>94.966382406050442</v>
      </c>
      <c r="E42" s="4">
        <v>99.531924976369197</v>
      </c>
      <c r="F42" s="4">
        <v>99.543361637329056</v>
      </c>
      <c r="K42" s="7"/>
    </row>
    <row r="43" spans="1:11">
      <c r="A43" s="4">
        <v>2017.12</v>
      </c>
      <c r="B43" t="s">
        <v>17</v>
      </c>
      <c r="C43" s="4">
        <v>416.1</v>
      </c>
      <c r="D43" s="4">
        <v>96.208447671291097</v>
      </c>
      <c r="E43" s="4">
        <v>99.531924976369197</v>
      </c>
      <c r="F43" s="4">
        <v>97.926606958793741</v>
      </c>
      <c r="K43" s="7"/>
    </row>
    <row r="44" spans="1:11">
      <c r="A44" s="4">
        <v>2018.01</v>
      </c>
      <c r="B44" t="s">
        <v>18</v>
      </c>
      <c r="C44" s="4">
        <v>417.2</v>
      </c>
      <c r="D44" s="4">
        <v>98.148242260717637</v>
      </c>
      <c r="E44" s="4">
        <v>99.531924976369197</v>
      </c>
      <c r="F44" s="4">
        <v>98.641382967678069</v>
      </c>
      <c r="K44" s="7"/>
    </row>
    <row r="45" spans="1:11">
      <c r="A45" s="4"/>
      <c r="B45" t="s">
        <v>19</v>
      </c>
      <c r="C45" s="4">
        <v>433.28999567081019</v>
      </c>
      <c r="D45" s="4">
        <v>102.54149750601145</v>
      </c>
      <c r="E45" s="4">
        <v>100.64227795729364</v>
      </c>
      <c r="F45" s="4">
        <v>99.814434202564485</v>
      </c>
      <c r="K45" s="7"/>
    </row>
    <row r="46" spans="1:11">
      <c r="A46" s="4">
        <v>2018.02</v>
      </c>
      <c r="B46" t="s">
        <v>20</v>
      </c>
      <c r="C46" s="4">
        <v>424.7</v>
      </c>
      <c r="D46" s="4">
        <v>101.84156981578217</v>
      </c>
      <c r="E46" s="4">
        <v>100.64227795729366</v>
      </c>
      <c r="F46" s="4">
        <v>99.122178271705081</v>
      </c>
      <c r="K46" s="7"/>
    </row>
    <row r="47" spans="1:11">
      <c r="A47" s="4">
        <v>2018.03</v>
      </c>
      <c r="B47" t="s">
        <v>21</v>
      </c>
      <c r="C47" s="4">
        <v>437.4</v>
      </c>
      <c r="D47" s="4">
        <v>102.8551477638204</v>
      </c>
      <c r="E47" s="4">
        <v>100.64227795729366</v>
      </c>
      <c r="F47" s="4">
        <v>99.865872125192709</v>
      </c>
      <c r="K47" s="7"/>
    </row>
    <row r="48" spans="1:11">
      <c r="A48" s="4">
        <v>2018.04</v>
      </c>
      <c r="B48" t="s">
        <v>22</v>
      </c>
      <c r="C48" s="4">
        <v>437.9</v>
      </c>
      <c r="D48" s="4">
        <v>102.9277749384318</v>
      </c>
      <c r="E48" s="4">
        <v>100.64227795729366</v>
      </c>
      <c r="F48" s="4">
        <v>100.45525221079566</v>
      </c>
      <c r="K48" s="7"/>
    </row>
    <row r="49" spans="1:11">
      <c r="A49" s="4"/>
      <c r="B49" t="s">
        <v>23</v>
      </c>
      <c r="C49" s="4">
        <v>443.96456494928765</v>
      </c>
      <c r="D49" s="4">
        <v>106.8880501020119</v>
      </c>
      <c r="E49" s="4">
        <v>100.65097667624532</v>
      </c>
      <c r="F49" s="4">
        <v>102.61232571141483</v>
      </c>
      <c r="K49" s="7"/>
    </row>
    <row r="50" spans="1:11">
      <c r="A50" s="4">
        <v>2018.05</v>
      </c>
      <c r="B50" t="s">
        <v>24</v>
      </c>
      <c r="C50" s="4">
        <v>443</v>
      </c>
      <c r="D50" s="4">
        <v>105.9168390614808</v>
      </c>
      <c r="E50" s="4">
        <v>100.65097667624532</v>
      </c>
      <c r="F50" s="4">
        <v>101.59790283446861</v>
      </c>
      <c r="K50" s="7"/>
    </row>
    <row r="51" spans="1:11">
      <c r="A51" s="4">
        <v>2018.06</v>
      </c>
      <c r="B51" t="s">
        <v>25</v>
      </c>
      <c r="C51" s="4">
        <v>443</v>
      </c>
      <c r="D51" s="4">
        <v>106.58388927072822</v>
      </c>
      <c r="E51" s="4">
        <v>100.65097667624532</v>
      </c>
      <c r="F51" s="4">
        <v>102.48203208078642</v>
      </c>
      <c r="K51" s="7"/>
    </row>
    <row r="52" spans="1:11">
      <c r="A52" s="4">
        <v>2018.07</v>
      </c>
      <c r="B52" t="s">
        <v>26</v>
      </c>
      <c r="C52" s="4">
        <v>445.9</v>
      </c>
      <c r="D52" s="4">
        <v>108.16342197382667</v>
      </c>
      <c r="E52" s="4">
        <v>100.65097667624532</v>
      </c>
      <c r="F52" s="4">
        <v>103.75704221898944</v>
      </c>
      <c r="K52" s="7"/>
    </row>
    <row r="53" spans="1:11">
      <c r="A53" s="4"/>
      <c r="B53" t="s">
        <v>28</v>
      </c>
      <c r="C53" s="4">
        <v>467.8</v>
      </c>
      <c r="D53" s="4">
        <v>107.98669126690032</v>
      </c>
      <c r="E53" s="4">
        <v>103.84599759390447</v>
      </c>
      <c r="F53" s="4">
        <v>106.36433626723829</v>
      </c>
    </row>
    <row r="54" spans="1:11">
      <c r="A54" s="4"/>
      <c r="B54" t="s">
        <v>11</v>
      </c>
      <c r="C54" s="4">
        <v>453.12593573141356</v>
      </c>
      <c r="D54" s="4">
        <v>108.26874500000001</v>
      </c>
      <c r="E54" s="4">
        <v>102.38489499999999</v>
      </c>
      <c r="F54" s="4">
        <v>106.86756333333334</v>
      </c>
    </row>
    <row r="55" spans="1:11">
      <c r="A55" s="4">
        <v>2018.08</v>
      </c>
      <c r="B55" t="s">
        <v>12</v>
      </c>
      <c r="C55" s="4">
        <v>451.3</v>
      </c>
      <c r="D55" s="4">
        <v>107.93351</v>
      </c>
      <c r="E55" s="4">
        <v>102.384895</v>
      </c>
      <c r="F55" s="4">
        <v>105.48023000000001</v>
      </c>
    </row>
    <row r="56" spans="1:11">
      <c r="A56" s="4">
        <v>2018.09</v>
      </c>
      <c r="B56" t="s">
        <v>13</v>
      </c>
      <c r="C56" s="4">
        <v>451.3</v>
      </c>
      <c r="D56" s="4">
        <v>108.40721000000001</v>
      </c>
      <c r="E56" s="4">
        <v>102.384895</v>
      </c>
      <c r="F56" s="4">
        <v>107.36151</v>
      </c>
    </row>
    <row r="57" spans="1:11">
      <c r="A57" s="4">
        <v>2018.1</v>
      </c>
      <c r="B57" t="s">
        <v>14</v>
      </c>
      <c r="C57" s="4">
        <v>456.8</v>
      </c>
      <c r="D57" s="4">
        <v>108.465515</v>
      </c>
      <c r="E57" s="4">
        <v>102.384895</v>
      </c>
      <c r="F57" s="4">
        <v>107.76094999999999</v>
      </c>
    </row>
    <row r="58" spans="1:11">
      <c r="A58" s="4"/>
      <c r="B58" t="s">
        <v>15</v>
      </c>
      <c r="C58" s="4">
        <v>464.79997848228339</v>
      </c>
      <c r="D58" s="4">
        <v>107.92490333333335</v>
      </c>
      <c r="E58" s="4">
        <v>104.11818999999998</v>
      </c>
      <c r="F58" s="4">
        <v>105.33086333333331</v>
      </c>
    </row>
    <row r="59" spans="1:11">
      <c r="A59" s="4">
        <v>2018.11</v>
      </c>
      <c r="B59" t="s">
        <v>16</v>
      </c>
      <c r="C59" s="4">
        <v>464.6</v>
      </c>
      <c r="D59" s="4">
        <v>107.98721</v>
      </c>
      <c r="E59" s="4">
        <v>104.11819</v>
      </c>
      <c r="F59" s="4">
        <v>106.43895999999999</v>
      </c>
    </row>
    <row r="60" spans="1:11">
      <c r="A60" s="4">
        <v>2018.12</v>
      </c>
      <c r="B60" t="s">
        <v>17</v>
      </c>
      <c r="C60" s="4">
        <v>464.9</v>
      </c>
      <c r="D60" s="4">
        <v>107.89727000000001</v>
      </c>
      <c r="E60" s="4">
        <v>104.11819</v>
      </c>
      <c r="F60" s="4">
        <v>104.95336</v>
      </c>
    </row>
    <row r="61" spans="1:11">
      <c r="A61" s="4">
        <v>2019.01</v>
      </c>
      <c r="B61" t="s">
        <v>18</v>
      </c>
      <c r="C61" s="4">
        <v>464.9</v>
      </c>
      <c r="D61" s="4">
        <v>107.89023</v>
      </c>
      <c r="E61" s="4">
        <v>104.11819</v>
      </c>
      <c r="F61" s="4">
        <v>104.60026999999999</v>
      </c>
    </row>
    <row r="62" spans="1:11">
      <c r="A62" s="4"/>
      <c r="B62" t="s">
        <v>19</v>
      </c>
      <c r="C62" s="4">
        <v>475.23273524399616</v>
      </c>
      <c r="D62" s="4">
        <v>107.165372</v>
      </c>
      <c r="E62" s="4">
        <v>104.40072000000002</v>
      </c>
      <c r="F62" s="4">
        <v>104.64829833333333</v>
      </c>
    </row>
    <row r="63" spans="1:11">
      <c r="A63" s="4">
        <v>2019.02</v>
      </c>
      <c r="B63" t="s">
        <v>20</v>
      </c>
      <c r="C63" s="4">
        <v>474.7</v>
      </c>
      <c r="D63" s="4">
        <v>107.10903</v>
      </c>
      <c r="E63" s="4">
        <v>104.40072000000001</v>
      </c>
      <c r="F63" s="4">
        <v>104.259315</v>
      </c>
    </row>
    <row r="64" spans="1:11">
      <c r="A64" s="4">
        <v>2019.03</v>
      </c>
      <c r="B64" t="s">
        <v>21</v>
      </c>
      <c r="C64" s="4">
        <v>474.7</v>
      </c>
      <c r="D64" s="4">
        <v>107.217766</v>
      </c>
      <c r="E64" s="4">
        <v>104.40072000000001</v>
      </c>
      <c r="F64" s="4">
        <v>104.83313</v>
      </c>
    </row>
    <row r="65" spans="1:6">
      <c r="A65" s="4">
        <v>2019.04</v>
      </c>
      <c r="B65" t="s">
        <v>22</v>
      </c>
      <c r="C65" s="4">
        <v>476.3</v>
      </c>
      <c r="D65" s="4">
        <v>107.16932</v>
      </c>
      <c r="E65" s="4">
        <v>104.40072000000001</v>
      </c>
      <c r="F65" s="4">
        <v>104.85245</v>
      </c>
    </row>
    <row r="66" spans="1:6">
      <c r="A66" s="4"/>
      <c r="B66" t="s">
        <v>23</v>
      </c>
      <c r="C66" s="4">
        <v>476.49997901070384</v>
      </c>
      <c r="D66" s="4">
        <v>108.52858667347087</v>
      </c>
      <c r="E66" s="4">
        <v>104.49440999999993</v>
      </c>
      <c r="F66" s="4">
        <v>108.05581424272448</v>
      </c>
    </row>
    <row r="67" spans="1:6">
      <c r="A67" s="4">
        <v>2019.05</v>
      </c>
      <c r="B67" t="s">
        <v>24</v>
      </c>
      <c r="C67" s="4">
        <v>476.3</v>
      </c>
      <c r="D67" s="4">
        <v>108.4</v>
      </c>
      <c r="E67" s="4">
        <v>104.49441</v>
      </c>
      <c r="F67" s="4">
        <v>106.871635</v>
      </c>
    </row>
    <row r="68" spans="1:6">
      <c r="A68" s="4">
        <v>2019.06</v>
      </c>
      <c r="B68" t="s">
        <v>25</v>
      </c>
      <c r="C68" s="4">
        <v>476.6</v>
      </c>
      <c r="D68" s="4">
        <v>108.51526</v>
      </c>
      <c r="E68" s="4">
        <v>104.49441</v>
      </c>
      <c r="F68" s="4">
        <v>107.93908</v>
      </c>
    </row>
    <row r="69" spans="1:6">
      <c r="A69" s="4">
        <v>2019.07</v>
      </c>
      <c r="B69" t="s">
        <v>26</v>
      </c>
      <c r="C69" s="4">
        <v>476.6</v>
      </c>
      <c r="D69" s="4">
        <v>108.67067</v>
      </c>
      <c r="E69" s="4">
        <v>104.49441</v>
      </c>
      <c r="F69" s="4">
        <v>109.37127</v>
      </c>
    </row>
    <row r="70" spans="1:6">
      <c r="A70" s="4"/>
      <c r="B70" t="s">
        <v>29</v>
      </c>
      <c r="C70" s="4">
        <v>498.52618092064</v>
      </c>
      <c r="D70" s="4">
        <v>103.808264367294</v>
      </c>
      <c r="E70" s="4">
        <v>107.47898168151205</v>
      </c>
      <c r="F70" s="4">
        <v>113.05362108903954</v>
      </c>
    </row>
    <row r="71" spans="1:6">
      <c r="A71" s="4"/>
      <c r="B71" t="s">
        <v>11</v>
      </c>
      <c r="C71" s="4">
        <v>495.14331072090181</v>
      </c>
      <c r="D71" s="4">
        <v>106.13954400236041</v>
      </c>
      <c r="E71" s="4">
        <v>107.11339000000001</v>
      </c>
      <c r="F71" s="4">
        <v>112.82876463564361</v>
      </c>
    </row>
    <row r="72" spans="1:6">
      <c r="A72" s="4">
        <v>2019.08</v>
      </c>
      <c r="B72" t="s">
        <v>12</v>
      </c>
      <c r="C72" s="4">
        <v>494.830080854051</v>
      </c>
      <c r="D72" s="4">
        <v>106.58741999999999</v>
      </c>
      <c r="E72" s="4">
        <v>107.11339</v>
      </c>
      <c r="F72" s="4">
        <v>114.19800600000001</v>
      </c>
    </row>
    <row r="73" spans="1:6">
      <c r="A73" s="4">
        <v>2019.09</v>
      </c>
      <c r="B73" t="s">
        <v>13</v>
      </c>
      <c r="C73" s="4">
        <v>495.3</v>
      </c>
      <c r="D73" s="4">
        <v>105.98266</v>
      </c>
      <c r="E73" s="4">
        <v>107.11339</v>
      </c>
      <c r="F73" s="4">
        <v>114.2362</v>
      </c>
    </row>
    <row r="74" spans="1:6">
      <c r="A74" s="4">
        <v>2019.1</v>
      </c>
      <c r="B74" t="s">
        <v>14</v>
      </c>
      <c r="C74" s="4">
        <v>495.3</v>
      </c>
      <c r="D74" s="4">
        <v>105.85000599999999</v>
      </c>
      <c r="E74" s="4">
        <v>107.11339</v>
      </c>
      <c r="F74" s="4">
        <v>115.61494</v>
      </c>
    </row>
    <row r="75" spans="1:6">
      <c r="A75" s="4"/>
      <c r="B75" t="s">
        <v>15</v>
      </c>
      <c r="C75" s="4">
        <v>500.55861349773369</v>
      </c>
      <c r="D75" s="4">
        <v>103.15964682639706</v>
      </c>
      <c r="E75" s="4">
        <v>107.38750499999999</v>
      </c>
      <c r="F75" s="4">
        <v>113.90192967035063</v>
      </c>
    </row>
    <row r="76" spans="1:6">
      <c r="A76" s="4">
        <v>2019.11</v>
      </c>
      <c r="B76" t="s">
        <v>16</v>
      </c>
      <c r="C76" s="4">
        <v>500</v>
      </c>
      <c r="D76" s="4">
        <v>104.74215</v>
      </c>
      <c r="E76" s="4">
        <v>107.387505</v>
      </c>
      <c r="F76" s="4">
        <v>114.49728</v>
      </c>
    </row>
    <row r="77" spans="1:6">
      <c r="A77" s="4">
        <v>2019.12</v>
      </c>
      <c r="B77" t="s">
        <v>17</v>
      </c>
      <c r="C77" s="4">
        <v>500.8381542398198</v>
      </c>
      <c r="D77" s="4">
        <v>102.328766</v>
      </c>
      <c r="E77" s="4">
        <v>107.387505</v>
      </c>
      <c r="F77" s="4">
        <v>114.376045</v>
      </c>
    </row>
    <row r="78" spans="1:6">
      <c r="A78" s="4">
        <v>2020.01</v>
      </c>
      <c r="B78" t="s">
        <v>18</v>
      </c>
      <c r="C78" s="4">
        <v>500.8381542398198</v>
      </c>
      <c r="D78" s="4">
        <v>102.426025</v>
      </c>
      <c r="E78" s="4">
        <v>107.387505</v>
      </c>
      <c r="F78" s="4">
        <v>112.83998</v>
      </c>
    </row>
    <row r="79" spans="1:6">
      <c r="A79" s="4"/>
      <c r="B79" t="s">
        <v>19</v>
      </c>
      <c r="C79" s="4">
        <v>500.83815423981963</v>
      </c>
      <c r="D79" s="4">
        <v>103.06978106974678</v>
      </c>
      <c r="E79" s="4">
        <v>107.67621599999995</v>
      </c>
      <c r="F79" s="4">
        <v>112.13598378220715</v>
      </c>
    </row>
    <row r="80" spans="1:6">
      <c r="A80" s="4">
        <v>2020.02</v>
      </c>
      <c r="B80" t="s">
        <v>20</v>
      </c>
      <c r="C80" s="4">
        <v>500.8381542398198</v>
      </c>
      <c r="D80" s="4">
        <v>102.93785</v>
      </c>
      <c r="E80" s="4">
        <v>107.676216</v>
      </c>
      <c r="F80" s="4">
        <v>111.69307000000001</v>
      </c>
    </row>
    <row r="81" spans="1:6">
      <c r="A81" s="4">
        <v>2020.03</v>
      </c>
      <c r="B81" t="s">
        <v>21</v>
      </c>
      <c r="C81" s="4">
        <v>500.8381542398198</v>
      </c>
      <c r="D81" s="4">
        <v>103.13581000000001</v>
      </c>
      <c r="E81" s="4">
        <v>107.676216</v>
      </c>
      <c r="F81" s="4">
        <v>111.71585</v>
      </c>
    </row>
    <row r="82" spans="1:6">
      <c r="A82" s="4">
        <v>2020.04</v>
      </c>
      <c r="B82" t="s">
        <v>22</v>
      </c>
      <c r="C82" s="4">
        <v>500.8381542398198</v>
      </c>
      <c r="D82" s="4">
        <v>103.13581000000001</v>
      </c>
      <c r="E82" s="4">
        <v>107.676216</v>
      </c>
      <c r="F82" s="4">
        <v>113.00404</v>
      </c>
    </row>
    <row r="83" spans="1:6">
      <c r="A83" s="4"/>
      <c r="B83" t="s">
        <v>23</v>
      </c>
      <c r="C83" s="4">
        <v>497.58653798254153</v>
      </c>
      <c r="D83" s="4">
        <v>102.89856111084701</v>
      </c>
      <c r="E83" s="4">
        <v>107.73997499999992</v>
      </c>
      <c r="F83" s="4">
        <v>113.35534336702261</v>
      </c>
    </row>
    <row r="84" spans="1:6">
      <c r="A84" s="4">
        <v>2020.05</v>
      </c>
      <c r="B84" t="s">
        <v>24</v>
      </c>
      <c r="C84" s="4">
        <v>500.83815423982003</v>
      </c>
      <c r="D84" s="4">
        <v>102.75022</v>
      </c>
      <c r="E84" s="4">
        <v>107.739975</v>
      </c>
      <c r="F84" s="4">
        <v>112.38232000000001</v>
      </c>
    </row>
    <row r="85" spans="1:6">
      <c r="A85" s="4">
        <v>2020.06</v>
      </c>
      <c r="B85" t="s">
        <v>25</v>
      </c>
      <c r="C85" s="4">
        <v>495.96865492666547</v>
      </c>
      <c r="D85" s="4">
        <v>103.44945</v>
      </c>
      <c r="E85" s="4">
        <v>107.739975</v>
      </c>
      <c r="F85" s="4">
        <v>112.21762</v>
      </c>
    </row>
    <row r="86" spans="1:6">
      <c r="A86" s="4">
        <v>2020.07</v>
      </c>
      <c r="B86" t="s">
        <v>26</v>
      </c>
      <c r="C86" s="4">
        <v>495.96865492666547</v>
      </c>
      <c r="D86" s="4">
        <v>102.49836999999999</v>
      </c>
      <c r="E86" s="4">
        <v>107.739975</v>
      </c>
      <c r="F86" s="4">
        <v>115.496</v>
      </c>
    </row>
    <row r="87" spans="1:6">
      <c r="A87" s="4"/>
      <c r="B87" t="s">
        <v>30</v>
      </c>
      <c r="C87" s="4">
        <v>508.17862560528454</v>
      </c>
      <c r="D87" s="4">
        <v>107.64860615132841</v>
      </c>
      <c r="E87" s="4">
        <v>113.03394940978926</v>
      </c>
      <c r="F87" s="4">
        <v>0</v>
      </c>
    </row>
    <row r="88" spans="1:6">
      <c r="A88" s="4"/>
      <c r="B88" t="s">
        <v>11</v>
      </c>
      <c r="C88" s="4">
        <v>498.89708734700673</v>
      </c>
      <c r="D88" s="4">
        <v>103.80737161799628</v>
      </c>
      <c r="E88" s="4">
        <v>112.19695000000003</v>
      </c>
      <c r="F88" s="4">
        <v>124.00294157517109</v>
      </c>
    </row>
    <row r="89" spans="1:6">
      <c r="A89" s="4">
        <v>2020.08</v>
      </c>
      <c r="B89" t="s">
        <v>12</v>
      </c>
      <c r="C89" s="4">
        <v>499.06855291105023</v>
      </c>
      <c r="D89" s="4">
        <v>104.10543</v>
      </c>
      <c r="E89" s="4">
        <v>112.19695</v>
      </c>
      <c r="F89" s="4">
        <v>122.57004499999999</v>
      </c>
    </row>
    <row r="90" spans="1:6">
      <c r="A90" s="4">
        <v>2020.09</v>
      </c>
      <c r="B90" t="s">
        <v>13</v>
      </c>
      <c r="C90" s="4">
        <v>498.81137665773389</v>
      </c>
      <c r="D90" s="4">
        <v>103.72685</v>
      </c>
      <c r="E90" s="4">
        <v>112.19695</v>
      </c>
      <c r="F90" s="4">
        <v>124.29369</v>
      </c>
    </row>
    <row r="91" spans="1:6">
      <c r="A91" s="4">
        <v>2020.1</v>
      </c>
      <c r="B91" t="s">
        <v>14</v>
      </c>
      <c r="C91" s="4">
        <v>498.81137665773389</v>
      </c>
      <c r="D91" s="4">
        <v>103.59052</v>
      </c>
      <c r="E91" s="4">
        <v>112.19695</v>
      </c>
      <c r="F91" s="4">
        <v>125.15913</v>
      </c>
    </row>
    <row r="92" spans="1:6">
      <c r="A92" s="4"/>
      <c r="B92" t="s">
        <v>15</v>
      </c>
      <c r="C92" s="4">
        <v>502.93835782771362</v>
      </c>
      <c r="D92" s="4">
        <v>105.56151836739436</v>
      </c>
      <c r="E92" s="4">
        <v>112.74574999999994</v>
      </c>
      <c r="F92" s="4">
        <v>122.644594022088</v>
      </c>
    </row>
    <row r="93" spans="1:6">
      <c r="A93" s="4">
        <v>2020.11</v>
      </c>
      <c r="B93" t="s">
        <v>16</v>
      </c>
      <c r="C93" s="4">
        <v>498.81137665773389</v>
      </c>
      <c r="D93" s="4">
        <v>104.547195</v>
      </c>
      <c r="E93" s="4">
        <v>112.74575</v>
      </c>
      <c r="F93" s="4">
        <v>125.275566</v>
      </c>
    </row>
    <row r="94" spans="1:6">
      <c r="A94" s="4">
        <v>2020.12</v>
      </c>
      <c r="B94" t="s">
        <v>17</v>
      </c>
      <c r="C94" s="4">
        <v>500.96844064228122</v>
      </c>
      <c r="D94" s="4">
        <v>105.03371</v>
      </c>
      <c r="E94" s="4">
        <v>112.74575</v>
      </c>
      <c r="F94" s="4">
        <v>122.90701</v>
      </c>
    </row>
    <row r="95" spans="1:6">
      <c r="A95" s="4">
        <v>2021.01</v>
      </c>
      <c r="B95" t="s">
        <v>18</v>
      </c>
      <c r="C95" s="4">
        <v>509.09350990196276</v>
      </c>
      <c r="D95" s="4">
        <v>107.12129</v>
      </c>
      <c r="E95" s="4">
        <v>112.74575</v>
      </c>
      <c r="F95" s="4">
        <v>119.81252000000001</v>
      </c>
    </row>
    <row r="96" spans="1:6">
      <c r="A96" s="4"/>
      <c r="B96" t="s">
        <v>19</v>
      </c>
      <c r="C96" s="4">
        <v>513.66900544888472</v>
      </c>
      <c r="D96" s="4">
        <v>108.95081799538883</v>
      </c>
      <c r="E96" s="4">
        <v>113.51199999999994</v>
      </c>
      <c r="F96" s="4">
        <v>119.07625612652819</v>
      </c>
    </row>
    <row r="97" spans="1:14">
      <c r="A97" s="4">
        <v>2021.02</v>
      </c>
      <c r="B97" t="s">
        <v>20</v>
      </c>
      <c r="C97" s="4">
        <v>511.96033470711359</v>
      </c>
      <c r="D97" s="4">
        <v>109.37220000000001</v>
      </c>
      <c r="E97" s="4">
        <v>113.512</v>
      </c>
      <c r="F97" s="4">
        <v>118.53216999999999</v>
      </c>
    </row>
    <row r="98" spans="1:14">
      <c r="A98" s="4">
        <v>2021.03</v>
      </c>
      <c r="B98" t="s">
        <v>21</v>
      </c>
      <c r="C98" s="4">
        <v>514.52547814384309</v>
      </c>
      <c r="D98" s="4">
        <v>108.20650000000001</v>
      </c>
      <c r="E98" s="4">
        <v>113.512</v>
      </c>
      <c r="F98" s="4">
        <v>118.75336</v>
      </c>
    </row>
    <row r="99" spans="1:14">
      <c r="A99" s="4">
        <v>2021.04</v>
      </c>
      <c r="B99" t="s">
        <v>22</v>
      </c>
      <c r="C99" s="4">
        <v>514.52547814384309</v>
      </c>
      <c r="D99" s="4">
        <v>109.27761</v>
      </c>
      <c r="E99" s="4">
        <v>113.512</v>
      </c>
      <c r="F99" s="4">
        <v>119.9481</v>
      </c>
    </row>
    <row r="100" spans="1:14">
      <c r="A100" s="4"/>
      <c r="B100" t="s">
        <v>23</v>
      </c>
      <c r="C100" s="4">
        <v>517.43581782750221</v>
      </c>
      <c r="D100" s="4">
        <v>112.47845053565939</v>
      </c>
      <c r="E100" s="4">
        <v>113.68746999999991</v>
      </c>
      <c r="F100" s="4">
        <v>122.89878280190646</v>
      </c>
    </row>
    <row r="101" spans="1:14">
      <c r="A101" s="4">
        <v>2021.05</v>
      </c>
      <c r="B101" t="s">
        <v>24</v>
      </c>
      <c r="C101" s="4">
        <v>514.52547814384309</v>
      </c>
      <c r="D101" s="4">
        <v>111.41915</v>
      </c>
      <c r="E101" s="4">
        <v>113.68747</v>
      </c>
      <c r="F101" s="4">
        <v>121.428856</v>
      </c>
    </row>
    <row r="102" spans="1:14">
      <c r="A102" s="4">
        <v>2021.06</v>
      </c>
      <c r="B102" t="s">
        <v>25</v>
      </c>
      <c r="C102" s="4">
        <v>515.84706404692679</v>
      </c>
      <c r="D102" s="4">
        <v>111.89505</v>
      </c>
      <c r="E102" s="4">
        <v>113.68747</v>
      </c>
      <c r="F102" s="4">
        <v>122.31238999999999</v>
      </c>
    </row>
    <row r="103" spans="1:14">
      <c r="A103" s="4">
        <v>2021.07</v>
      </c>
      <c r="B103" t="s">
        <v>26</v>
      </c>
      <c r="C103" s="4">
        <v>521.96528063896278</v>
      </c>
      <c r="D103" s="4">
        <v>114.13984000000001</v>
      </c>
      <c r="E103" s="4">
        <v>113.68747</v>
      </c>
      <c r="F103" s="4">
        <v>124.98284</v>
      </c>
    </row>
    <row r="104" spans="1:14">
      <c r="A104" s="4"/>
      <c r="B104" t="s">
        <v>48</v>
      </c>
      <c r="C104" s="4"/>
      <c r="D104" s="4"/>
      <c r="E104" s="4"/>
      <c r="F104" s="4"/>
    </row>
    <row r="105" spans="1:14">
      <c r="A105" s="4"/>
      <c r="B105" t="s">
        <v>11</v>
      </c>
      <c r="C105" s="4"/>
      <c r="D105" s="4"/>
      <c r="E105" s="4"/>
      <c r="F105" s="4"/>
    </row>
    <row r="106" spans="1:14">
      <c r="A106" s="4">
        <v>2021.08</v>
      </c>
      <c r="B106" t="s">
        <v>12</v>
      </c>
      <c r="C106" s="4">
        <v>523.74690026221117</v>
      </c>
      <c r="D106" s="4">
        <v>116.11561</v>
      </c>
      <c r="E106" s="4">
        <v>120.54096</v>
      </c>
      <c r="F106" s="4">
        <v>127.78157</v>
      </c>
    </row>
    <row r="107" spans="1:14">
      <c r="A107" s="4">
        <v>2021.09</v>
      </c>
      <c r="B107" t="s">
        <v>13</v>
      </c>
      <c r="C107" s="4">
        <v>523.74690026221117</v>
      </c>
      <c r="D107" s="4">
        <v>116.20729</v>
      </c>
      <c r="E107" s="4">
        <v>120.54096</v>
      </c>
      <c r="F107" s="4">
        <v>128.15424999999999</v>
      </c>
    </row>
    <row r="108" spans="1:14">
      <c r="A108" s="4">
        <v>2021.1</v>
      </c>
      <c r="B108" t="s">
        <v>14</v>
      </c>
      <c r="C108" s="4">
        <v>523.74690026221117</v>
      </c>
      <c r="D108" s="4">
        <v>116.35791</v>
      </c>
      <c r="E108" s="4">
        <v>120.54096</v>
      </c>
      <c r="F108" s="4">
        <v>129.95624000000001</v>
      </c>
      <c r="N108" s="50"/>
    </row>
    <row r="109" spans="1:14">
      <c r="A109" s="4"/>
      <c r="B109" t="s">
        <v>15</v>
      </c>
      <c r="C109" s="4"/>
      <c r="D109" s="4"/>
      <c r="E109" s="4"/>
      <c r="F109" s="4"/>
      <c r="N109" s="50"/>
    </row>
    <row r="110" spans="1:14">
      <c r="A110" s="4">
        <v>2021.11</v>
      </c>
      <c r="B110" t="s">
        <v>16</v>
      </c>
      <c r="C110" s="4">
        <v>524.63804289344193</v>
      </c>
      <c r="D110" s="4">
        <v>125.55852</v>
      </c>
      <c r="E110" s="4">
        <v>122.78874</v>
      </c>
      <c r="F110" s="4">
        <v>133.64684</v>
      </c>
    </row>
    <row r="111" spans="1:14">
      <c r="A111" s="4">
        <v>2021.12</v>
      </c>
      <c r="B111" t="s">
        <v>17</v>
      </c>
      <c r="C111" s="4">
        <v>526.8947436082924</v>
      </c>
      <c r="D111" s="4">
        <v>125.35019</v>
      </c>
      <c r="E111" s="4">
        <v>122.78874</v>
      </c>
      <c r="F111" s="4">
        <v>131.78209000000001</v>
      </c>
      <c r="N111" s="50"/>
    </row>
    <row r="112" spans="1:14">
      <c r="A112" s="4">
        <v>2022.01</v>
      </c>
      <c r="B112" t="s">
        <v>18</v>
      </c>
      <c r="C112" s="4">
        <v>526.8947436082924</v>
      </c>
      <c r="D112" s="4">
        <v>125.87631</v>
      </c>
      <c r="E112" s="4">
        <v>122.78874</v>
      </c>
      <c r="F112" s="4">
        <v>129.49812</v>
      </c>
      <c r="N112" s="50"/>
    </row>
    <row r="113" spans="1:11">
      <c r="A113" s="4"/>
      <c r="B113" t="s">
        <v>19</v>
      </c>
      <c r="C113" s="4"/>
      <c r="D113" s="4"/>
      <c r="E113" s="4"/>
      <c r="F113" s="4"/>
    </row>
    <row r="114" spans="1:11">
      <c r="A114" s="4">
        <v>2022.02</v>
      </c>
      <c r="B114" t="s">
        <v>20</v>
      </c>
      <c r="C114" s="4">
        <v>526.8947436082924</v>
      </c>
      <c r="D114" s="4">
        <v>127.536804</v>
      </c>
      <c r="E114" s="4">
        <v>122.931854</v>
      </c>
      <c r="F114" s="4">
        <v>130.79031000000001</v>
      </c>
    </row>
    <row r="115" spans="1:11">
      <c r="A115" s="4">
        <v>2022.03</v>
      </c>
      <c r="B115" t="s">
        <v>21</v>
      </c>
      <c r="C115" s="4">
        <v>533.10235907247784</v>
      </c>
      <c r="D115" s="4">
        <v>134.43776</v>
      </c>
      <c r="E115" s="4">
        <v>122.931854</v>
      </c>
      <c r="F115" s="4">
        <v>134.34395000000001</v>
      </c>
    </row>
    <row r="116" spans="1:11">
      <c r="A116" s="4">
        <v>2022.04</v>
      </c>
      <c r="B116" t="s">
        <v>22</v>
      </c>
      <c r="C116" s="4">
        <v>541.76608888158205</v>
      </c>
      <c r="D116" s="4">
        <v>136.83524</v>
      </c>
      <c r="E116" s="4">
        <v>122.931854</v>
      </c>
      <c r="F116" s="4">
        <v>137.24484000000001</v>
      </c>
      <c r="K116" s="50"/>
    </row>
    <row r="117" spans="1:11">
      <c r="A117" s="4"/>
      <c r="B117" t="s">
        <v>23</v>
      </c>
      <c r="C117" s="4"/>
      <c r="D117" s="4"/>
      <c r="E117" s="4"/>
      <c r="F117" s="4"/>
      <c r="K117" s="50"/>
    </row>
    <row r="118" spans="1:11">
      <c r="A118" s="4">
        <v>2022.05</v>
      </c>
      <c r="B118" t="s">
        <v>24</v>
      </c>
      <c r="C118" s="4">
        <v>541.81853276662503</v>
      </c>
      <c r="D118" s="4">
        <v>141.30508</v>
      </c>
      <c r="E118" s="4">
        <v>124.46802</v>
      </c>
      <c r="F118" s="4">
        <v>140.92689999999999</v>
      </c>
    </row>
    <row r="119" spans="1:11">
      <c r="A119" s="4">
        <v>2022.06</v>
      </c>
      <c r="B119" t="s">
        <v>25</v>
      </c>
      <c r="C119" s="4">
        <v>541.81853276662503</v>
      </c>
      <c r="D119" s="4">
        <v>140.15342999999999</v>
      </c>
      <c r="E119" s="4">
        <v>124.46802</v>
      </c>
      <c r="F119" s="4">
        <v>140.37593000000001</v>
      </c>
    </row>
    <row r="120" spans="1:11">
      <c r="A120" s="51">
        <v>2022.07</v>
      </c>
      <c r="B120" t="s">
        <v>26</v>
      </c>
      <c r="C120" s="4">
        <v>550.44273964787089</v>
      </c>
      <c r="D120" s="4">
        <v>137.81296</v>
      </c>
      <c r="E120" s="4">
        <v>124.46802</v>
      </c>
      <c r="F120" s="4">
        <v>140.90701000000001</v>
      </c>
    </row>
    <row r="121" spans="1:11">
      <c r="A121" s="51"/>
      <c r="B121" s="50" t="s">
        <v>80</v>
      </c>
      <c r="C121" s="51"/>
      <c r="D121" s="51"/>
      <c r="E121" s="51"/>
      <c r="F121" s="51"/>
    </row>
    <row r="122" spans="1:11">
      <c r="A122" s="51"/>
      <c r="B122" s="50" t="s">
        <v>11</v>
      </c>
      <c r="C122" s="51"/>
      <c r="D122" s="51"/>
      <c r="E122" s="51"/>
      <c r="F122" s="51"/>
    </row>
    <row r="123" spans="1:11">
      <c r="A123" s="51">
        <v>2022.08</v>
      </c>
      <c r="B123" t="s">
        <v>12</v>
      </c>
      <c r="C123" s="51">
        <v>571.04259181258897</v>
      </c>
      <c r="D123" s="51">
        <v>138.59886</v>
      </c>
      <c r="E123" s="51">
        <v>130.10400000000001</v>
      </c>
      <c r="F123" s="51">
        <v>143.85096999999999</v>
      </c>
    </row>
    <row r="124" spans="1:11">
      <c r="A124" s="51">
        <v>2022.09</v>
      </c>
      <c r="B124" t="s">
        <v>13</v>
      </c>
      <c r="C124" s="51">
        <v>572.5602013037668</v>
      </c>
      <c r="D124" s="51">
        <v>138.70862</v>
      </c>
      <c r="E124" s="51">
        <v>130.10400000000001</v>
      </c>
      <c r="F124" s="51">
        <v>146.10167999999999</v>
      </c>
    </row>
    <row r="125" spans="1:11">
      <c r="A125" s="51">
        <v>2022.1</v>
      </c>
      <c r="B125" t="s">
        <v>14</v>
      </c>
      <c r="C125" s="51">
        <v>572.5602013037668</v>
      </c>
      <c r="D125" s="51">
        <v>138.77884</v>
      </c>
      <c r="E125" s="51">
        <v>130.10400000000001</v>
      </c>
      <c r="F125" s="51">
        <v>147.80146999999999</v>
      </c>
    </row>
    <row r="126" spans="1:11">
      <c r="A126" s="51"/>
      <c r="B126" s="50" t="s">
        <v>15</v>
      </c>
      <c r="C126" s="51"/>
      <c r="D126" s="51"/>
      <c r="E126" s="51"/>
      <c r="F126" s="51"/>
    </row>
    <row r="127" spans="1:11">
      <c r="A127" s="51">
        <v>2022.11</v>
      </c>
      <c r="B127" t="s">
        <v>16</v>
      </c>
      <c r="C127" s="51">
        <v>572.5602013037668</v>
      </c>
      <c r="D127" s="51">
        <v>140.49205000000001</v>
      </c>
      <c r="E127" s="51">
        <v>130.25603000000001</v>
      </c>
      <c r="F127" s="51">
        <v>147.03242</v>
      </c>
    </row>
    <row r="128" spans="1:11">
      <c r="A128" s="51">
        <v>2022.12</v>
      </c>
      <c r="B128" t="s">
        <v>17</v>
      </c>
      <c r="C128" s="51">
        <v>572.5602013037668</v>
      </c>
      <c r="D128" s="51">
        <v>138.52575999999999</v>
      </c>
      <c r="E128" s="51">
        <v>130.25603000000001</v>
      </c>
      <c r="F128" s="51">
        <v>143.84469999999999</v>
      </c>
    </row>
    <row r="129" spans="1:14">
      <c r="A129" s="51">
        <v>2023.01</v>
      </c>
      <c r="B129" t="s">
        <v>18</v>
      </c>
      <c r="C129" s="51">
        <v>572.5602013037668</v>
      </c>
      <c r="D129" s="51">
        <v>139.30699000000001</v>
      </c>
      <c r="E129" s="51">
        <v>130.25603000000001</v>
      </c>
      <c r="F129" s="51">
        <v>142.21180000000001</v>
      </c>
      <c r="N129" s="5"/>
    </row>
    <row r="130" spans="1:14">
      <c r="A130" s="51">
        <v>2023.02</v>
      </c>
      <c r="B130" s="50" t="s">
        <v>20</v>
      </c>
      <c r="C130" s="51">
        <v>572.5602013037668</v>
      </c>
      <c r="D130" s="51">
        <v>142.93492000000001</v>
      </c>
      <c r="E130" s="51">
        <v>132.56921</v>
      </c>
      <c r="F130" s="51">
        <v>143.44319999999999</v>
      </c>
    </row>
    <row r="131" spans="1:14">
      <c r="A131" s="51">
        <v>2023.03</v>
      </c>
      <c r="B131" t="s">
        <v>21</v>
      </c>
      <c r="C131" s="51">
        <v>572.5602013037668</v>
      </c>
      <c r="D131" s="51">
        <v>143.28242</v>
      </c>
      <c r="E131" s="51">
        <v>132.56921</v>
      </c>
      <c r="F131" s="51">
        <v>143.87602000000001</v>
      </c>
    </row>
    <row r="132" spans="1:14">
      <c r="A132" s="51">
        <v>2023.04</v>
      </c>
      <c r="B132" t="s">
        <v>22</v>
      </c>
      <c r="C132" s="51">
        <v>576.53975955176679</v>
      </c>
      <c r="D132" s="51">
        <v>145.23429999999999</v>
      </c>
      <c r="E132" s="51">
        <v>132.56921</v>
      </c>
      <c r="F132" s="51">
        <v>144.92174</v>
      </c>
    </row>
  </sheetData>
  <conditionalFormatting sqref="A2:F132">
    <cfRule type="expression" dxfId="13" priority="9">
      <formula>RIGHT($B2,3)="Qtr"</formula>
    </cfRule>
    <cfRule type="expression" dxfId="12" priority="10">
      <formula>OR(LEFT($B2,1)="2", LEFT($B2,1)="1")</formula>
    </cfRule>
  </conditionalFormatting>
  <conditionalFormatting sqref="A104:F104">
    <cfRule type="expression" dxfId="11" priority="7">
      <formula>RIGHT($B104,3)="Qtr"</formula>
    </cfRule>
    <cfRule type="expression" dxfId="10" priority="8">
      <formula>OR(LEFT($B104,1)="2", LEFT($B104,1)="1")</formula>
    </cfRule>
  </conditionalFormatting>
  <conditionalFormatting sqref="A121:F121">
    <cfRule type="expression" dxfId="9" priority="3">
      <formula>RIGHT($B121,3)="Qtr"</formula>
    </cfRule>
    <cfRule type="expression" dxfId="8" priority="4">
      <formula>OR(LEFT($B121,1)="2", LEFT($B121,1)="1")</formula>
    </cfRule>
  </conditionalFormatting>
  <conditionalFormatting sqref="A130:F130">
    <cfRule type="expression" dxfId="7" priority="1">
      <formula>RIGHT($B130,3)="Qtr"</formula>
    </cfRule>
    <cfRule type="expression" dxfId="6" priority="2">
      <formula>OR(LEFT($B130,1)="2", LEFT($B130,1)="1")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18</vt:i4>
      </vt:variant>
    </vt:vector>
  </HeadingPairs>
  <TitlesOfParts>
    <vt:vector size="21" baseType="lpstr">
      <vt:lpstr>IPC</vt:lpstr>
      <vt:lpstr>Project</vt:lpstr>
      <vt:lpstr>Indices</vt:lpstr>
      <vt:lpstr>IPC!a</vt:lpstr>
      <vt:lpstr>amount</vt:lpstr>
      <vt:lpstr>IPC!b</vt:lpstr>
      <vt:lpstr>IPC!c_</vt:lpstr>
      <vt:lpstr>completionDate</vt:lpstr>
      <vt:lpstr>IPC!d</vt:lpstr>
      <vt:lpstr>dates</vt:lpstr>
      <vt:lpstr>dateType</vt:lpstr>
      <vt:lpstr>dateType1</vt:lpstr>
      <vt:lpstr>intendedCompletionDate</vt:lpstr>
      <vt:lpstr>IPC!lo</vt:lpstr>
      <vt:lpstr>IPC!mo</vt:lpstr>
      <vt:lpstr>IPC!no</vt:lpstr>
      <vt:lpstr>originalIndex</vt:lpstr>
      <vt:lpstr>presentDate</vt:lpstr>
      <vt:lpstr>presentIndex</vt:lpstr>
      <vt:lpstr>IPC!Print_Area</vt:lpstr>
      <vt:lpstr>IPC!VAT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2023-04-12T09:56:11Z</cp:lastPrinted>
  <dcterms:created xsi:type="dcterms:W3CDTF">2021-11-26T02:59:12Z</dcterms:created>
  <dcterms:modified xsi:type="dcterms:W3CDTF">2023-06-02T03:52:18Z</dcterms:modified>
</cp:coreProperties>
</file>